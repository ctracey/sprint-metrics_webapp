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christracey/workspace/sprint-metrics_webapp/assets/xlsx/"/>
    </mc:Choice>
  </mc:AlternateContent>
  <xr:revisionPtr revIDLastSave="0" documentId="13_ncr:1_{50AF3DA0-69CC-AF42-A7E9-46914B8A1452}" xr6:coauthVersionLast="47" xr6:coauthVersionMax="47" xr10:uidLastSave="{00000000-0000-0000-0000-000000000000}"/>
  <bookViews>
    <workbookView xWindow="0" yWindow="0" windowWidth="68800" windowHeight="28800" tabRatio="783" activeTab="5" xr2:uid="{00000000-000D-0000-FFFF-FFFF00000000}"/>
  </bookViews>
  <sheets>
    <sheet name="Sprint Summary (standard)" sheetId="34" r:id="rId1"/>
    <sheet name="Sprint Summary (metadata)" sheetId="35" r:id="rId2"/>
    <sheet name="Sprint Summary | data" sheetId="19" r:id="rId3"/>
    <sheet name="Calculated Stats" sheetId="30" r:id="rId4"/>
    <sheet name="processed | data" sheetId="29" r:id="rId5"/>
    <sheet name="rawdata | iteration analysis" sheetId="28" r:id="rId6"/>
    <sheet name="Sheet2" sheetId="37" r:id="rId7"/>
  </sheets>
  <externalReferences>
    <externalReference r:id="rId8"/>
  </externalReferences>
  <definedNames>
    <definedName name="JiraExportFileLocation">#REF!</definedName>
    <definedName name="RAW_labels">OFFSET(INDEX('[1]raw export'!$1000:$1000, 2, [1]data!XFD$2), 0, 0, 1, 5)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0" i="30" l="1"/>
  <c r="B181" i="30"/>
  <c r="B182" i="30"/>
  <c r="B183" i="30"/>
  <c r="B184" i="30"/>
  <c r="B185" i="30"/>
  <c r="B186" i="30"/>
  <c r="B187" i="30"/>
  <c r="B188" i="30"/>
  <c r="B189" i="30"/>
  <c r="B190" i="30"/>
  <c r="B191" i="30"/>
  <c r="E202" i="29"/>
  <c r="E203" i="29"/>
  <c r="E204" i="29"/>
  <c r="E205" i="29"/>
  <c r="E206" i="29"/>
  <c r="E207" i="29"/>
  <c r="E208" i="29"/>
  <c r="E209" i="29"/>
  <c r="E210" i="29"/>
  <c r="E211" i="29"/>
  <c r="E212" i="29"/>
  <c r="E213" i="29"/>
  <c r="D202" i="29"/>
  <c r="C180" i="30" s="1"/>
  <c r="D203" i="29"/>
  <c r="C181" i="30" s="1"/>
  <c r="D204" i="29"/>
  <c r="C182" i="30" s="1"/>
  <c r="D205" i="29"/>
  <c r="C183" i="30" s="1"/>
  <c r="D206" i="29"/>
  <c r="C184" i="30" s="1"/>
  <c r="D207" i="29"/>
  <c r="C185" i="30" s="1"/>
  <c r="D208" i="29"/>
  <c r="C186" i="30" s="1"/>
  <c r="D209" i="29"/>
  <c r="C187" i="30" s="1"/>
  <c r="D210" i="29"/>
  <c r="C188" i="30" s="1"/>
  <c r="D211" i="29"/>
  <c r="C189" i="30" s="1"/>
  <c r="D212" i="29"/>
  <c r="C190" i="30" s="1"/>
  <c r="D213" i="29"/>
  <c r="C191" i="30" s="1"/>
  <c r="B202" i="29"/>
  <c r="B203" i="29"/>
  <c r="B204" i="29"/>
  <c r="B205" i="29"/>
  <c r="B206" i="29"/>
  <c r="B207" i="29"/>
  <c r="B208" i="29"/>
  <c r="B209" i="29"/>
  <c r="B210" i="29"/>
  <c r="B211" i="29"/>
  <c r="B212" i="29"/>
  <c r="B213" i="29"/>
  <c r="A174" i="29" a="1"/>
  <c r="A31" i="19"/>
  <c r="Q42" i="19"/>
  <c r="Q41" i="19"/>
  <c r="Q40" i="19"/>
  <c r="A30" i="19"/>
  <c r="E157" i="29"/>
  <c r="B157" i="29" s="1" a="1"/>
  <c r="B157" i="29" s="1"/>
  <c r="C136" i="30" s="1"/>
  <c r="J52" i="19" s="1"/>
  <c r="A29" i="19"/>
  <c r="I75" i="19"/>
  <c r="I74" i="19"/>
  <c r="E151" i="29"/>
  <c r="B151" i="29" s="1" a="1"/>
  <c r="B151" i="29" s="1"/>
  <c r="C124" i="30" s="1"/>
  <c r="J60" i="19" s="1"/>
  <c r="E7" i="29"/>
  <c r="B7" i="29" s="1" a="1"/>
  <c r="B7" i="29" s="1"/>
  <c r="C22" i="30" s="1"/>
  <c r="B5" i="19" s="1"/>
  <c r="E8" i="29"/>
  <c r="B8" i="29" s="1" a="1"/>
  <c r="B8" i="29" s="1"/>
  <c r="C23" i="30" s="1"/>
  <c r="E9" i="29"/>
  <c r="B9" i="29" s="1" a="1"/>
  <c r="B9" i="29" s="1"/>
  <c r="C24" i="30" s="1"/>
  <c r="E6" i="29"/>
  <c r="B6" i="29" s="1" a="1"/>
  <c r="B6" i="29" s="1"/>
  <c r="C44" i="30"/>
  <c r="C45" i="30"/>
  <c r="A105" i="29"/>
  <c r="D105" i="29" s="1"/>
  <c r="E105" i="29" s="1"/>
  <c r="B105" i="29" s="1" a="1"/>
  <c r="B105" i="29" s="1"/>
  <c r="D82" i="30" s="1"/>
  <c r="A106" i="29"/>
  <c r="D106" i="29" s="1"/>
  <c r="E106" i="29" s="1"/>
  <c r="B106" i="29" s="1" a="1"/>
  <c r="B106" i="29" s="1"/>
  <c r="D83" i="30" s="1"/>
  <c r="A107" i="29"/>
  <c r="D107" i="29" s="1"/>
  <c r="A108" i="29"/>
  <c r="D108" i="29" s="1"/>
  <c r="A109" i="29"/>
  <c r="D109" i="29" s="1"/>
  <c r="A110" i="29"/>
  <c r="D110" i="29" s="1"/>
  <c r="E110" i="29" s="1"/>
  <c r="B110" i="29" s="1" a="1"/>
  <c r="B110" i="29" s="1"/>
  <c r="D87" i="30" s="1"/>
  <c r="A111" i="29"/>
  <c r="D111" i="29" s="1"/>
  <c r="A112" i="29"/>
  <c r="D112" i="29" s="1"/>
  <c r="A113" i="29"/>
  <c r="D113" i="29" s="1"/>
  <c r="A93" i="29"/>
  <c r="D93" i="29" s="1"/>
  <c r="A94" i="29"/>
  <c r="D94" i="29" s="1"/>
  <c r="A95" i="29"/>
  <c r="D95" i="29" s="1"/>
  <c r="E95" i="29" s="1"/>
  <c r="B95" i="29" s="1" a="1"/>
  <c r="B95" i="29" s="1"/>
  <c r="C84" i="30" s="1"/>
  <c r="A96" i="29"/>
  <c r="D96" i="29" s="1"/>
  <c r="E96" i="29" s="1"/>
  <c r="B96" i="29" s="1" a="1"/>
  <c r="B96" i="29" s="1"/>
  <c r="C85" i="30" s="1"/>
  <c r="A97" i="29"/>
  <c r="D97" i="29" s="1"/>
  <c r="A98" i="29"/>
  <c r="D98" i="29" s="1"/>
  <c r="A99" i="29"/>
  <c r="D99" i="29" s="1"/>
  <c r="A100" i="29"/>
  <c r="D100" i="29" s="1"/>
  <c r="A101" i="29"/>
  <c r="D101" i="29" s="1"/>
  <c r="A104" i="29"/>
  <c r="D104" i="29" s="1"/>
  <c r="E104" i="29" s="1"/>
  <c r="B104" i="29" s="1" a="1"/>
  <c r="B104" i="29" s="1"/>
  <c r="D81" i="30" s="1"/>
  <c r="A92" i="29"/>
  <c r="D92" i="29" s="1"/>
  <c r="E92" i="29" s="1"/>
  <c r="B92" i="29" s="1" a="1"/>
  <c r="B92" i="29" s="1"/>
  <c r="C81" i="30" s="1"/>
  <c r="A81" i="29"/>
  <c r="D81" i="29" s="1"/>
  <c r="E81" i="29" s="1"/>
  <c r="B81" i="29" s="1" a="1"/>
  <c r="B81" i="29" s="1"/>
  <c r="D52" i="30" s="1"/>
  <c r="A82" i="29"/>
  <c r="D82" i="29" s="1"/>
  <c r="A83" i="29"/>
  <c r="D83" i="29" s="1"/>
  <c r="A84" i="29"/>
  <c r="D84" i="29" s="1"/>
  <c r="A85" i="29"/>
  <c r="D85" i="29" s="1"/>
  <c r="A86" i="29"/>
  <c r="D86" i="29" s="1"/>
  <c r="E86" i="29" s="1"/>
  <c r="B86" i="29" s="1" a="1"/>
  <c r="B86" i="29" s="1"/>
  <c r="D57" i="30" s="1"/>
  <c r="A87" i="29"/>
  <c r="D87" i="29" s="1"/>
  <c r="E87" i="29" s="1"/>
  <c r="B87" i="29" s="1" a="1"/>
  <c r="B87" i="29" s="1"/>
  <c r="D58" i="30" s="1"/>
  <c r="A88" i="29"/>
  <c r="D88" i="29" s="1"/>
  <c r="E88" i="29" s="1"/>
  <c r="B88" i="29" s="1" a="1"/>
  <c r="B88" i="29" s="1"/>
  <c r="D59" i="30" s="1"/>
  <c r="A89" i="29"/>
  <c r="D89" i="29" s="1"/>
  <c r="A80" i="29"/>
  <c r="D80" i="29" s="1"/>
  <c r="A69" i="29"/>
  <c r="D69" i="29" s="1"/>
  <c r="A70" i="29"/>
  <c r="D70" i="29" s="1"/>
  <c r="A71" i="29"/>
  <c r="D71" i="29" s="1"/>
  <c r="A72" i="29"/>
  <c r="D72" i="29" s="1"/>
  <c r="A73" i="29"/>
  <c r="D73" i="29" s="1"/>
  <c r="A74" i="29"/>
  <c r="D74" i="29" s="1"/>
  <c r="A75" i="29"/>
  <c r="D75" i="29" s="1"/>
  <c r="A76" i="29"/>
  <c r="D76" i="29" s="1"/>
  <c r="E76" i="29" s="1"/>
  <c r="B76" i="29" s="1" a="1"/>
  <c r="B76" i="29" s="1"/>
  <c r="C59" i="30" s="1"/>
  <c r="A77" i="29"/>
  <c r="D77" i="29" s="1"/>
  <c r="A68" i="29"/>
  <c r="D68" i="29" s="1"/>
  <c r="E136" i="29"/>
  <c r="B136" i="29" s="1" a="1"/>
  <c r="B136" i="29" s="1"/>
  <c r="C117" i="30" s="1"/>
  <c r="J24" i="19" s="1"/>
  <c r="E137" i="29"/>
  <c r="B137" i="29" s="1" a="1"/>
  <c r="B137" i="29" s="1"/>
  <c r="C118" i="30" s="1"/>
  <c r="J25" i="19" s="1"/>
  <c r="E138" i="29"/>
  <c r="B138" i="29" s="1" a="1"/>
  <c r="B138" i="29" s="1"/>
  <c r="C119" i="30" s="1"/>
  <c r="J26" i="19" s="1"/>
  <c r="E143" i="29"/>
  <c r="B143" i="29" s="1" a="1"/>
  <c r="B143" i="29" s="1"/>
  <c r="D117" i="30" s="1"/>
  <c r="E144" i="29"/>
  <c r="B144" i="29" s="1" a="1"/>
  <c r="B144" i="29" s="1"/>
  <c r="D118" i="30" s="1"/>
  <c r="E145" i="29"/>
  <c r="B145" i="29" s="1" a="1"/>
  <c r="B145" i="29" s="1"/>
  <c r="D119" i="30" s="1"/>
  <c r="B200" i="29" l="1"/>
  <c r="B178" i="30" s="1"/>
  <c r="B201" i="29"/>
  <c r="D200" i="29"/>
  <c r="C178" i="30" s="1"/>
  <c r="E200" i="29"/>
  <c r="D201" i="29"/>
  <c r="C179" i="30" s="1"/>
  <c r="A174" i="29"/>
  <c r="B182" i="29"/>
  <c r="B160" i="30" s="1"/>
  <c r="B190" i="29"/>
  <c r="B168" i="30" s="1"/>
  <c r="B198" i="29"/>
  <c r="B176" i="30" s="1"/>
  <c r="B197" i="29"/>
  <c r="B175" i="30" s="1"/>
  <c r="B189" i="29"/>
  <c r="B167" i="30" s="1"/>
  <c r="B181" i="29"/>
  <c r="B159" i="30" s="1"/>
  <c r="E180" i="29"/>
  <c r="B196" i="29"/>
  <c r="B174" i="30" s="1"/>
  <c r="B188" i="29"/>
  <c r="B166" i="30" s="1"/>
  <c r="B180" i="29"/>
  <c r="B158" i="30" s="1"/>
  <c r="E187" i="29"/>
  <c r="B195" i="29"/>
  <c r="B173" i="30" s="1"/>
  <c r="B187" i="29"/>
  <c r="B165" i="30" s="1"/>
  <c r="B179" i="29"/>
  <c r="B157" i="30" s="1"/>
  <c r="E194" i="29"/>
  <c r="E186" i="29"/>
  <c r="E178" i="29"/>
  <c r="B194" i="29"/>
  <c r="B172" i="30" s="1"/>
  <c r="B186" i="29"/>
  <c r="B164" i="30" s="1"/>
  <c r="B178" i="29"/>
  <c r="B156" i="30" s="1"/>
  <c r="E193" i="29"/>
  <c r="E185" i="29"/>
  <c r="E177" i="29"/>
  <c r="B193" i="29"/>
  <c r="B171" i="30" s="1"/>
  <c r="B185" i="29"/>
  <c r="B163" i="30" s="1"/>
  <c r="B177" i="29"/>
  <c r="B155" i="30" s="1"/>
  <c r="D184" i="29"/>
  <c r="C162" i="30" s="1"/>
  <c r="D176" i="29"/>
  <c r="C154" i="30" s="1"/>
  <c r="E192" i="29"/>
  <c r="E184" i="29"/>
  <c r="B192" i="29"/>
  <c r="B170" i="30" s="1"/>
  <c r="B184" i="29"/>
  <c r="B162" i="30" s="1"/>
  <c r="B176" i="29"/>
  <c r="B154" i="30" s="1"/>
  <c r="B199" i="29"/>
  <c r="B177" i="30" s="1"/>
  <c r="B191" i="29"/>
  <c r="B169" i="30" s="1"/>
  <c r="B183" i="29"/>
  <c r="B161" i="30" s="1"/>
  <c r="B175" i="29"/>
  <c r="B153" i="30" s="1"/>
  <c r="D198" i="29"/>
  <c r="C176" i="30" s="1"/>
  <c r="D190" i="29"/>
  <c r="C168" i="30" s="1"/>
  <c r="D182" i="29"/>
  <c r="C160" i="30" s="1"/>
  <c r="E198" i="29"/>
  <c r="E190" i="29"/>
  <c r="E182" i="29"/>
  <c r="B7" i="19"/>
  <c r="C21" i="30"/>
  <c r="B6" i="19"/>
  <c r="E101" i="29"/>
  <c r="B101" i="29" s="1" a="1"/>
  <c r="B101" i="29" s="1"/>
  <c r="C90" i="30" s="1"/>
  <c r="E109" i="29"/>
  <c r="B109" i="29" s="1" a="1"/>
  <c r="B109" i="29" s="1"/>
  <c r="D86" i="30" s="1"/>
  <c r="E108" i="29"/>
  <c r="B108" i="29" s="1" a="1"/>
  <c r="B108" i="29" s="1"/>
  <c r="D85" i="30" s="1"/>
  <c r="E97" i="29"/>
  <c r="B97" i="29" s="1" a="1"/>
  <c r="B97" i="29" s="1"/>
  <c r="C86" i="30" s="1"/>
  <c r="E94" i="29"/>
  <c r="B94" i="29" s="1" a="1"/>
  <c r="B94" i="29" s="1"/>
  <c r="C83" i="30" s="1"/>
  <c r="E89" i="29"/>
  <c r="B89" i="29" s="1" a="1"/>
  <c r="B89" i="29" s="1"/>
  <c r="D60" i="30" s="1"/>
  <c r="E85" i="29"/>
  <c r="B85" i="29" s="1" a="1"/>
  <c r="B85" i="29" s="1"/>
  <c r="D56" i="30" s="1"/>
  <c r="E84" i="29"/>
  <c r="B84" i="29" s="1" a="1"/>
  <c r="B84" i="29" s="1"/>
  <c r="D55" i="30" s="1"/>
  <c r="E82" i="29"/>
  <c r="B82" i="29" s="1" a="1"/>
  <c r="B82" i="29" s="1"/>
  <c r="D53" i="30" s="1"/>
  <c r="E80" i="29"/>
  <c r="B80" i="29" s="1" a="1"/>
  <c r="B80" i="29" s="1"/>
  <c r="D51" i="30" s="1"/>
  <c r="E75" i="29"/>
  <c r="B75" i="29" s="1" a="1"/>
  <c r="B75" i="29" s="1"/>
  <c r="C58" i="30" s="1"/>
  <c r="E74" i="29"/>
  <c r="B74" i="29" s="1" a="1"/>
  <c r="B74" i="29" s="1"/>
  <c r="C57" i="30" s="1"/>
  <c r="E73" i="29"/>
  <c r="B73" i="29" s="1" a="1"/>
  <c r="B73" i="29" s="1"/>
  <c r="C56" i="30" s="1"/>
  <c r="E68" i="29"/>
  <c r="B68" i="29" s="1" a="1"/>
  <c r="B68" i="29" s="1"/>
  <c r="C51" i="30" s="1"/>
  <c r="E98" i="29"/>
  <c r="B98" i="29" s="1" a="1"/>
  <c r="B98" i="29" s="1"/>
  <c r="C87" i="30" s="1"/>
  <c r="E111" i="29"/>
  <c r="B111" i="29" s="1" a="1"/>
  <c r="B111" i="29" s="1"/>
  <c r="D88" i="30" s="1"/>
  <c r="E112" i="29"/>
  <c r="B112" i="29" s="1" a="1"/>
  <c r="B112" i="29" s="1"/>
  <c r="D89" i="30" s="1"/>
  <c r="E99" i="29"/>
  <c r="B99" i="29" s="1" a="1"/>
  <c r="B99" i="29" s="1"/>
  <c r="C88" i="30" s="1"/>
  <c r="E77" i="29"/>
  <c r="B77" i="29" s="1" a="1"/>
  <c r="B77" i="29" s="1"/>
  <c r="C60" i="30" s="1"/>
  <c r="E100" i="29"/>
  <c r="B100" i="29" s="1" a="1"/>
  <c r="B100" i="29" s="1"/>
  <c r="C89" i="30" s="1"/>
  <c r="E113" i="29"/>
  <c r="B113" i="29" s="1" a="1"/>
  <c r="B113" i="29" s="1"/>
  <c r="D90" i="30" s="1"/>
  <c r="E69" i="29"/>
  <c r="B69" i="29" s="1" a="1"/>
  <c r="B69" i="29" s="1"/>
  <c r="C52" i="30" s="1"/>
  <c r="E93" i="29"/>
  <c r="B93" i="29" s="1" a="1"/>
  <c r="B93" i="29" s="1"/>
  <c r="C82" i="30" s="1"/>
  <c r="E70" i="29"/>
  <c r="B70" i="29" s="1" a="1"/>
  <c r="B70" i="29" s="1"/>
  <c r="C53" i="30" s="1"/>
  <c r="E71" i="29"/>
  <c r="B71" i="29" s="1" a="1"/>
  <c r="B71" i="29" s="1"/>
  <c r="C54" i="30" s="1"/>
  <c r="E72" i="29"/>
  <c r="B72" i="29" s="1" a="1"/>
  <c r="B72" i="29" s="1"/>
  <c r="C55" i="30" s="1"/>
  <c r="E83" i="29"/>
  <c r="B83" i="29" s="1" a="1"/>
  <c r="B83" i="29" s="1"/>
  <c r="D54" i="30" s="1"/>
  <c r="E107" i="29"/>
  <c r="B107" i="29" s="1" a="1"/>
  <c r="B107" i="29" s="1"/>
  <c r="D84" i="30" s="1"/>
  <c r="A54" i="29"/>
  <c r="D54" i="29" s="1"/>
  <c r="A55" i="29"/>
  <c r="D55" i="29" s="1"/>
  <c r="A56" i="29"/>
  <c r="A57" i="29"/>
  <c r="A58" i="29"/>
  <c r="A59" i="29"/>
  <c r="A60" i="29"/>
  <c r="A61" i="29"/>
  <c r="A62" i="29"/>
  <c r="A53" i="29"/>
  <c r="D53" i="29" s="1"/>
  <c r="A42" i="29"/>
  <c r="D42" i="29" s="1"/>
  <c r="A43" i="29"/>
  <c r="D43" i="29" s="1"/>
  <c r="A44" i="29"/>
  <c r="A45" i="29"/>
  <c r="A46" i="29"/>
  <c r="A47" i="29"/>
  <c r="A48" i="29"/>
  <c r="A49" i="29"/>
  <c r="A50" i="29"/>
  <c r="A41" i="29"/>
  <c r="D41" i="29" s="1"/>
  <c r="A30" i="29"/>
  <c r="D30" i="29" s="1"/>
  <c r="A31" i="29"/>
  <c r="D31" i="29" s="1"/>
  <c r="A32" i="29"/>
  <c r="D32" i="29" s="1"/>
  <c r="A33" i="29"/>
  <c r="D33" i="29" s="1"/>
  <c r="A34" i="29"/>
  <c r="D34" i="29" s="1"/>
  <c r="A35" i="29"/>
  <c r="D35" i="29" s="1"/>
  <c r="A36" i="29"/>
  <c r="D36" i="29" s="1"/>
  <c r="A37" i="29"/>
  <c r="D37" i="29" s="1"/>
  <c r="A38" i="29"/>
  <c r="D38" i="29" s="1"/>
  <c r="A29" i="29"/>
  <c r="D29" i="29" s="1"/>
  <c r="A18" i="29"/>
  <c r="D18" i="29" s="1"/>
  <c r="A19" i="29"/>
  <c r="D19" i="29" s="1"/>
  <c r="A20" i="29"/>
  <c r="D20" i="29" s="1"/>
  <c r="A21" i="29"/>
  <c r="D21" i="29" s="1"/>
  <c r="A22" i="29"/>
  <c r="D22" i="29" s="1"/>
  <c r="A23" i="29"/>
  <c r="D23" i="29" s="1"/>
  <c r="A24" i="29"/>
  <c r="D24" i="29" s="1"/>
  <c r="A25" i="29"/>
  <c r="D25" i="29" s="1"/>
  <c r="A26" i="29"/>
  <c r="D26" i="29" s="1"/>
  <c r="A17" i="29"/>
  <c r="D17" i="29" s="1"/>
  <c r="B82" i="30"/>
  <c r="B83" i="30"/>
  <c r="B84" i="30"/>
  <c r="B85" i="30"/>
  <c r="B86" i="30"/>
  <c r="B87" i="30"/>
  <c r="B88" i="30"/>
  <c r="B89" i="30"/>
  <c r="B90" i="30"/>
  <c r="B81" i="30"/>
  <c r="B67" i="30"/>
  <c r="B68" i="30"/>
  <c r="B69" i="30"/>
  <c r="B70" i="30"/>
  <c r="B71" i="30"/>
  <c r="B72" i="30"/>
  <c r="B73" i="30"/>
  <c r="B74" i="30"/>
  <c r="B75" i="30"/>
  <c r="B66" i="30"/>
  <c r="B52" i="30"/>
  <c r="B53" i="30"/>
  <c r="B54" i="30"/>
  <c r="B55" i="30"/>
  <c r="B56" i="30"/>
  <c r="B57" i="30"/>
  <c r="B58" i="30"/>
  <c r="B59" i="30"/>
  <c r="B60" i="30"/>
  <c r="B51" i="30"/>
  <c r="B37" i="30"/>
  <c r="B38" i="30"/>
  <c r="B39" i="30"/>
  <c r="B40" i="30"/>
  <c r="B41" i="30"/>
  <c r="B42" i="30"/>
  <c r="B43" i="30"/>
  <c r="B44" i="30"/>
  <c r="B45" i="30"/>
  <c r="B36" i="30"/>
  <c r="E165" i="29"/>
  <c r="B165" i="29" s="1" a="1"/>
  <c r="B165" i="29" s="1"/>
  <c r="C143" i="30" s="1"/>
  <c r="E167" i="29"/>
  <c r="B167" i="29" s="1" a="1"/>
  <c r="B167" i="29" s="1"/>
  <c r="C145" i="30" s="1"/>
  <c r="R29" i="19" s="1"/>
  <c r="E168" i="29"/>
  <c r="B168" i="29" s="1" a="1"/>
  <c r="B168" i="29" s="1"/>
  <c r="C146" i="30" s="1"/>
  <c r="R28" i="19" s="1"/>
  <c r="E164" i="29"/>
  <c r="B164" i="29" s="1" a="1"/>
  <c r="B164" i="29" s="1"/>
  <c r="C142" i="30" s="1"/>
  <c r="E163" i="29"/>
  <c r="E162" i="29"/>
  <c r="B162" i="29" s="1" a="1"/>
  <c r="B162" i="29" s="1"/>
  <c r="C140" i="30" s="1"/>
  <c r="E131" i="29"/>
  <c r="B131" i="29" s="1" a="1"/>
  <c r="B131" i="29" s="1"/>
  <c r="E111" i="30" s="1"/>
  <c r="T23" i="19" s="1"/>
  <c r="E155" i="29"/>
  <c r="B155" i="29" s="1" a="1"/>
  <c r="B155" i="29" s="1"/>
  <c r="C134" i="30" s="1"/>
  <c r="J40" i="19" s="1"/>
  <c r="E156" i="29"/>
  <c r="B156" i="29" s="1" a="1"/>
  <c r="B156" i="29" s="1"/>
  <c r="C135" i="30" s="1"/>
  <c r="J50" i="19" s="1"/>
  <c r="E118" i="29"/>
  <c r="B118" i="29" s="1" a="1"/>
  <c r="B118" i="29" s="1"/>
  <c r="C106" i="30" s="1"/>
  <c r="E119" i="29"/>
  <c r="B119" i="29" s="1" a="1"/>
  <c r="B119" i="29" s="1"/>
  <c r="C107" i="30" s="1"/>
  <c r="E120" i="29"/>
  <c r="B120" i="29" s="1" a="1"/>
  <c r="B120" i="29" s="1"/>
  <c r="E121" i="29"/>
  <c r="B121" i="29" s="1" a="1"/>
  <c r="B121" i="29" s="1"/>
  <c r="C109" i="30" s="1"/>
  <c r="R21" i="19" s="1"/>
  <c r="E122" i="29"/>
  <c r="B122" i="29" s="1" a="1"/>
  <c r="B122" i="29" s="1"/>
  <c r="C111" i="30" s="1"/>
  <c r="R23" i="19" s="1"/>
  <c r="E127" i="29"/>
  <c r="B127" i="29" s="1" a="1"/>
  <c r="B127" i="29" s="1"/>
  <c r="E106" i="30" s="1"/>
  <c r="T18" i="19" s="1"/>
  <c r="E128" i="29"/>
  <c r="B128" i="29" s="1" a="1"/>
  <c r="B128" i="29" s="1"/>
  <c r="E107" i="30" s="1"/>
  <c r="E129" i="29"/>
  <c r="B129" i="29" s="1" a="1"/>
  <c r="B129" i="29" s="1"/>
  <c r="E108" i="30" s="1"/>
  <c r="E130" i="29"/>
  <c r="B130" i="29" s="1" a="1"/>
  <c r="B130" i="29" s="1"/>
  <c r="E109" i="30" s="1"/>
  <c r="T21" i="19" s="1"/>
  <c r="E201" i="29" l="1"/>
  <c r="B179" i="30"/>
  <c r="D177" i="29"/>
  <c r="C155" i="30" s="1"/>
  <c r="E179" i="29"/>
  <c r="K12" i="35"/>
  <c r="K12" i="34"/>
  <c r="M11" i="35"/>
  <c r="M11" i="34"/>
  <c r="K9" i="34"/>
  <c r="K9" i="35"/>
  <c r="K14" i="35"/>
  <c r="K14" i="34"/>
  <c r="M10" i="35"/>
  <c r="M10" i="34"/>
  <c r="I12" i="35"/>
  <c r="I12" i="34"/>
  <c r="I14" i="35"/>
  <c r="I14" i="34"/>
  <c r="E191" i="29"/>
  <c r="D194" i="29"/>
  <c r="C172" i="30" s="1"/>
  <c r="D187" i="29"/>
  <c r="C165" i="30" s="1"/>
  <c r="D180" i="29"/>
  <c r="C158" i="30" s="1"/>
  <c r="E199" i="29"/>
  <c r="E176" i="29"/>
  <c r="D195" i="29"/>
  <c r="C173" i="30" s="1"/>
  <c r="D188" i="29"/>
  <c r="C166" i="30" s="1"/>
  <c r="D197" i="29"/>
  <c r="C175" i="30" s="1"/>
  <c r="D175" i="29"/>
  <c r="C153" i="30" s="1"/>
  <c r="D196" i="29"/>
  <c r="C174" i="30" s="1"/>
  <c r="D189" i="29"/>
  <c r="C167" i="30" s="1"/>
  <c r="D183" i="29"/>
  <c r="C161" i="30" s="1"/>
  <c r="D181" i="29"/>
  <c r="C159" i="30" s="1"/>
  <c r="D191" i="29"/>
  <c r="C169" i="30" s="1"/>
  <c r="E197" i="29"/>
  <c r="D199" i="29"/>
  <c r="C177" i="30" s="1"/>
  <c r="E189" i="29"/>
  <c r="E175" i="29"/>
  <c r="D192" i="29"/>
  <c r="C170" i="30" s="1"/>
  <c r="D185" i="29"/>
  <c r="C163" i="30" s="1"/>
  <c r="D178" i="29"/>
  <c r="C156" i="30" s="1"/>
  <c r="E195" i="29"/>
  <c r="E188" i="29"/>
  <c r="E181" i="29"/>
  <c r="E183" i="29"/>
  <c r="D193" i="29"/>
  <c r="C171" i="30" s="1"/>
  <c r="D186" i="29"/>
  <c r="C164" i="30" s="1"/>
  <c r="D179" i="29"/>
  <c r="C157" i="30" s="1"/>
  <c r="E196" i="29"/>
  <c r="B174" i="29"/>
  <c r="J53" i="19"/>
  <c r="E110" i="30"/>
  <c r="T20" i="19"/>
  <c r="J43" i="19"/>
  <c r="T19" i="19"/>
  <c r="J62" i="19"/>
  <c r="R19" i="19"/>
  <c r="J63" i="19"/>
  <c r="J20" i="19"/>
  <c r="R18" i="19"/>
  <c r="N10" i="19"/>
  <c r="J33" i="19"/>
  <c r="J19" i="19"/>
  <c r="J44" i="19"/>
  <c r="N9" i="19"/>
  <c r="J32" i="19"/>
  <c r="D50" i="29"/>
  <c r="E50" i="29" s="1"/>
  <c r="B50" i="29" s="1" a="1"/>
  <c r="B50" i="29" s="1"/>
  <c r="C75" i="30" s="1"/>
  <c r="D60" i="29"/>
  <c r="E60" i="29" s="1"/>
  <c r="B60" i="29" s="1" a="1"/>
  <c r="B60" i="29" s="1"/>
  <c r="D73" i="30" s="1"/>
  <c r="D61" i="29"/>
  <c r="E61" i="29" s="1"/>
  <c r="B61" i="29" s="1" a="1"/>
  <c r="B61" i="29" s="1"/>
  <c r="D74" i="30" s="1"/>
  <c r="D59" i="29"/>
  <c r="E59" i="29" s="1"/>
  <c r="B59" i="29" s="1" a="1"/>
  <c r="B59" i="29" s="1"/>
  <c r="D72" i="30" s="1"/>
  <c r="D48" i="29"/>
  <c r="E48" i="29" s="1"/>
  <c r="B48" i="29" s="1" a="1"/>
  <c r="B48" i="29" s="1"/>
  <c r="C73" i="30" s="1"/>
  <c r="D58" i="29"/>
  <c r="E58" i="29" s="1"/>
  <c r="B58" i="29" s="1" a="1"/>
  <c r="B58" i="29" s="1"/>
  <c r="D71" i="30" s="1"/>
  <c r="D62" i="29"/>
  <c r="E62" i="29" s="1"/>
  <c r="B62" i="29" s="1" a="1"/>
  <c r="B62" i="29" s="1"/>
  <c r="D75" i="30" s="1"/>
  <c r="D49" i="29"/>
  <c r="E49" i="29" s="1"/>
  <c r="B49" i="29" s="1" a="1"/>
  <c r="B49" i="29" s="1"/>
  <c r="C74" i="30" s="1"/>
  <c r="D47" i="29"/>
  <c r="E47" i="29" s="1"/>
  <c r="B47" i="29" s="1" a="1"/>
  <c r="B47" i="29" s="1"/>
  <c r="C72" i="30" s="1"/>
  <c r="D57" i="29"/>
  <c r="E57" i="29" s="1"/>
  <c r="B57" i="29" s="1" a="1"/>
  <c r="B57" i="29" s="1"/>
  <c r="D70" i="30" s="1"/>
  <c r="D44" i="29"/>
  <c r="E44" i="29" s="1"/>
  <c r="B44" i="29" s="1" a="1"/>
  <c r="B44" i="29" s="1"/>
  <c r="C69" i="30" s="1"/>
  <c r="D46" i="29"/>
  <c r="E46" i="29" s="1"/>
  <c r="B46" i="29" s="1" a="1"/>
  <c r="B46" i="29" s="1"/>
  <c r="C71" i="30" s="1"/>
  <c r="D56" i="29"/>
  <c r="E56" i="29" s="1"/>
  <c r="B56" i="29" s="1" a="1"/>
  <c r="B56" i="29" s="1"/>
  <c r="D69" i="30" s="1"/>
  <c r="D45" i="29"/>
  <c r="E45" i="29" s="1"/>
  <c r="B45" i="29" s="1" a="1"/>
  <c r="B45" i="29" s="1"/>
  <c r="C70" i="30" s="1"/>
  <c r="C108" i="30"/>
  <c r="B163" i="29"/>
  <c r="C141" i="30" s="1"/>
  <c r="E29" i="29"/>
  <c r="B29" i="29" s="1" a="1"/>
  <c r="B29" i="29" s="1"/>
  <c r="D36" i="30" s="1"/>
  <c r="E38" i="29"/>
  <c r="B38" i="29" s="1" a="1"/>
  <c r="B38" i="29" s="1"/>
  <c r="D45" i="30" s="1"/>
  <c r="E34" i="29"/>
  <c r="B34" i="29" s="1" a="1"/>
  <c r="B34" i="29" s="1"/>
  <c r="D41" i="30" s="1"/>
  <c r="E25" i="29"/>
  <c r="B25" i="29" s="1" a="1"/>
  <c r="B25" i="29" s="1"/>
  <c r="E36" i="29"/>
  <c r="B36" i="29" s="1" a="1"/>
  <c r="B36" i="29" s="1"/>
  <c r="D43" i="30" s="1"/>
  <c r="E21" i="29"/>
  <c r="B21" i="29" s="1" a="1"/>
  <c r="B21" i="29" s="1"/>
  <c r="C40" i="30" s="1"/>
  <c r="E35" i="29"/>
  <c r="B35" i="29" s="1" a="1"/>
  <c r="B35" i="29" s="1"/>
  <c r="D42" i="30" s="1"/>
  <c r="E30" i="29"/>
  <c r="B30" i="29" s="1" a="1"/>
  <c r="B30" i="29" s="1"/>
  <c r="D37" i="30" s="1"/>
  <c r="E32" i="29"/>
  <c r="B32" i="29" s="1" a="1"/>
  <c r="B32" i="29" s="1"/>
  <c r="D39" i="30" s="1"/>
  <c r="B31" i="19" s="1"/>
  <c r="E26" i="29"/>
  <c r="B26" i="29" s="1" a="1"/>
  <c r="B26" i="29" s="1"/>
  <c r="C43" i="30" s="1"/>
  <c r="E37" i="29"/>
  <c r="B37" i="29" s="1" a="1"/>
  <c r="B37" i="29" s="1"/>
  <c r="D44" i="30" s="1"/>
  <c r="E24" i="29"/>
  <c r="B24" i="29" s="1" a="1"/>
  <c r="B24" i="29" s="1"/>
  <c r="E31" i="29"/>
  <c r="B31" i="29" s="1" a="1"/>
  <c r="B31" i="29" s="1"/>
  <c r="D38" i="30" s="1"/>
  <c r="B30" i="19" s="1"/>
  <c r="E23" i="29"/>
  <c r="B23" i="29" s="1" a="1"/>
  <c r="B23" i="29" s="1"/>
  <c r="C42" i="30" s="1"/>
  <c r="E22" i="29"/>
  <c r="B22" i="29" s="1" a="1"/>
  <c r="B22" i="29" s="1"/>
  <c r="C41" i="30" s="1"/>
  <c r="E33" i="29"/>
  <c r="B33" i="29" s="1" a="1"/>
  <c r="B33" i="29" s="1"/>
  <c r="D40" i="30" s="1"/>
  <c r="E18" i="29"/>
  <c r="B18" i="29" s="1" a="1"/>
  <c r="B18" i="29" s="1"/>
  <c r="C37" i="30" s="1"/>
  <c r="I9" i="35" l="1"/>
  <c r="I9" i="34"/>
  <c r="K11" i="34"/>
  <c r="K11" i="35"/>
  <c r="I10" i="35"/>
  <c r="I10" i="34"/>
  <c r="K10" i="35"/>
  <c r="K10" i="34"/>
  <c r="B152" i="30"/>
  <c r="I152" i="30" a="1"/>
  <c r="I152" i="30" s="1"/>
  <c r="E174" i="29"/>
  <c r="J152" i="30" s="1" a="1"/>
  <c r="J152" i="30" s="1"/>
  <c r="D174" i="29"/>
  <c r="C152" i="30" s="1"/>
  <c r="C128" i="30"/>
  <c r="J75" i="19" s="1"/>
  <c r="C127" i="30"/>
  <c r="J74" i="19" s="1"/>
  <c r="C110" i="30"/>
  <c r="R20" i="19"/>
  <c r="T22" i="19"/>
  <c r="F110" i="30"/>
  <c r="J16" i="19"/>
  <c r="J31" i="19"/>
  <c r="E54" i="29"/>
  <c r="B54" i="29" s="1" a="1"/>
  <c r="B54" i="29" s="1"/>
  <c r="D67" i="30" s="1"/>
  <c r="R41" i="19" s="1"/>
  <c r="E55" i="29"/>
  <c r="B55" i="29" s="1" a="1"/>
  <c r="B55" i="29" s="1"/>
  <c r="D68" i="30" s="1"/>
  <c r="R42" i="19" s="1"/>
  <c r="E53" i="29"/>
  <c r="B53" i="29" s="1" a="1"/>
  <c r="B53" i="29" s="1"/>
  <c r="D66" i="30" s="1"/>
  <c r="R40" i="19" s="1"/>
  <c r="E42" i="29"/>
  <c r="B42" i="29" s="1" a="1"/>
  <c r="B42" i="29" s="1"/>
  <c r="C67" i="30" s="1"/>
  <c r="E43" i="29"/>
  <c r="B43" i="29" s="1" a="1"/>
  <c r="B43" i="29" s="1"/>
  <c r="C68" i="30" s="1"/>
  <c r="E41" i="29"/>
  <c r="B41" i="29" s="1" a="1"/>
  <c r="B41" i="29" s="1"/>
  <c r="D98" i="30"/>
  <c r="D99" i="30"/>
  <c r="D97" i="30"/>
  <c r="E19" i="29"/>
  <c r="B19" i="29" s="1" a="1"/>
  <c r="B19" i="29" s="1"/>
  <c r="C38" i="30" s="1"/>
  <c r="E20" i="29"/>
  <c r="B20" i="29" s="1" a="1"/>
  <c r="B20" i="29" s="1"/>
  <c r="C39" i="30" s="1"/>
  <c r="E17" i="29"/>
  <c r="B17" i="29" s="1" a="1"/>
  <c r="B17" i="29" s="1"/>
  <c r="C36" i="30" s="1"/>
  <c r="C97" i="30" s="1"/>
  <c r="I11" i="35" l="1"/>
  <c r="I11" i="34"/>
  <c r="K13" i="35"/>
  <c r="K13" i="34"/>
  <c r="C130" i="30"/>
  <c r="B29" i="19" s="1"/>
  <c r="C98" i="30"/>
  <c r="C99" i="30"/>
  <c r="U22" i="19"/>
  <c r="R22" i="19"/>
  <c r="D110" i="30"/>
  <c r="C66" i="30"/>
  <c r="F109" i="30"/>
  <c r="F108" i="30"/>
  <c r="F111" i="30"/>
  <c r="F107" i="30"/>
  <c r="E94" i="30"/>
  <c r="E99" i="30" s="1"/>
  <c r="D107" i="30"/>
  <c r="D100" i="30"/>
  <c r="D108" i="30"/>
  <c r="D111" i="30"/>
  <c r="D109" i="30"/>
  <c r="K60" i="19"/>
  <c r="L13" i="35" l="1"/>
  <c r="L13" i="34"/>
  <c r="I13" i="34"/>
  <c r="I13" i="35"/>
  <c r="C100" i="30"/>
  <c r="J72" i="19"/>
  <c r="C131" i="30"/>
  <c r="J59" i="19" s="1"/>
  <c r="U21" i="19"/>
  <c r="S19" i="19"/>
  <c r="S22" i="19"/>
  <c r="U23" i="19"/>
  <c r="S20" i="19"/>
  <c r="U19" i="19"/>
  <c r="S21" i="19"/>
  <c r="S23" i="19"/>
  <c r="U20" i="19"/>
  <c r="F106" i="30"/>
  <c r="E97" i="30"/>
  <c r="E98" i="30"/>
  <c r="D106" i="30"/>
  <c r="B27" i="19"/>
  <c r="C29" i="19" s="1"/>
  <c r="J14" i="35" l="1"/>
  <c r="J14" i="34"/>
  <c r="L11" i="35"/>
  <c r="L11" i="34"/>
  <c r="L12" i="35"/>
  <c r="L12" i="34"/>
  <c r="J12" i="35"/>
  <c r="J12" i="34"/>
  <c r="J11" i="34"/>
  <c r="J11" i="35"/>
  <c r="L14" i="35"/>
  <c r="L14" i="34"/>
  <c r="J13" i="34"/>
  <c r="J13" i="35"/>
  <c r="L10" i="35"/>
  <c r="L10" i="34"/>
  <c r="J10" i="35"/>
  <c r="J10" i="34"/>
  <c r="U18" i="19"/>
  <c r="S18" i="19"/>
  <c r="E100" i="30"/>
  <c r="C30" i="19"/>
  <c r="C31" i="19"/>
  <c r="L9" i="34" l="1"/>
  <c r="L9" i="35"/>
  <c r="J9" i="35"/>
  <c r="J9" i="34"/>
  <c r="R38" i="19"/>
  <c r="S41" i="19" s="1"/>
  <c r="K74" i="19" l="1"/>
  <c r="K59" i="19"/>
  <c r="S42" i="19"/>
  <c r="S40" i="19"/>
  <c r="K75" i="19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<sst xmlns="http://schemas.openxmlformats.org/spreadsheetml/2006/main" count="447" uniqueCount="281">
  <si>
    <t>Done</t>
  </si>
  <si>
    <t>BAU</t>
  </si>
  <si>
    <t>Convergence</t>
  </si>
  <si>
    <t>In Progress</t>
  </si>
  <si>
    <t>labels</t>
  </si>
  <si>
    <t>story points</t>
  </si>
  <si>
    <t>estimate (story points)</t>
  </si>
  <si>
    <t>%</t>
  </si>
  <si>
    <t>throughput (no. of items)</t>
  </si>
  <si>
    <t>not completed in sprint</t>
  </si>
  <si>
    <t>completed in sprint</t>
  </si>
  <si>
    <t>TOTAL IN THE SPRINT</t>
  </si>
  <si>
    <t>committed at sprint start</t>
  </si>
  <si>
    <t>added after sprint start</t>
  </si>
  <si>
    <t>removed from sprint</t>
  </si>
  <si>
    <t>Sprint Progress</t>
  </si>
  <si>
    <t>Stream Allocation</t>
  </si>
  <si>
    <t>Sprint Completion</t>
  </si>
  <si>
    <t>totals</t>
  </si>
  <si>
    <t>Metric Confidence</t>
  </si>
  <si>
    <t>work item granularity ratio (completed work)</t>
  </si>
  <si>
    <t>unestimated work in sprint (%)</t>
  </si>
  <si>
    <t>Emergent work (BAU/Improvement)</t>
  </si>
  <si>
    <t>Projects</t>
  </si>
  <si>
    <t>Sprint Total</t>
  </si>
  <si>
    <t>sum</t>
  </si>
  <si>
    <t>Streams (labels)</t>
  </si>
  <si>
    <t>Skills (components)</t>
  </si>
  <si>
    <t>done</t>
  </si>
  <si>
    <t>sprint completion</t>
  </si>
  <si>
    <t>not started</t>
  </si>
  <si>
    <t>WIP</t>
  </si>
  <si>
    <t>emergent work | planned vs actual</t>
  </si>
  <si>
    <t>work item granularity</t>
  </si>
  <si>
    <t>points</t>
  </si>
  <si>
    <t>items</t>
  </si>
  <si>
    <t>burnup chart</t>
  </si>
  <si>
    <t>sprint name</t>
  </si>
  <si>
    <t>sprint summary</t>
  </si>
  <si>
    <t>date range</t>
  </si>
  <si>
    <t>total in sprint</t>
  </si>
  <si>
    <t>target</t>
  </si>
  <si>
    <t>sprint capacity</t>
  </si>
  <si>
    <t>capacity trend</t>
  </si>
  <si>
    <t>screenshot</t>
  </si>
  <si>
    <t>sprint velocity trends</t>
  </si>
  <si>
    <t>CHART: complete vs total</t>
  </si>
  <si>
    <t>CHART: done vs WIP</t>
  </si>
  <si>
    <t>BACKGROUND: capacity vs trend</t>
  </si>
  <si>
    <t>unestimated work</t>
  </si>
  <si>
    <t>% items</t>
  </si>
  <si>
    <t>actual work completed</t>
  </si>
  <si>
    <t>emergent work |work types</t>
  </si>
  <si>
    <t>Improvement</t>
  </si>
  <si>
    <t>delivery allocation | outcomes</t>
  </si>
  <si>
    <t>delivery allocation | streams</t>
  </si>
  <si>
    <t>TOTAL IN SPRINT</t>
  </si>
  <si>
    <t>added after sprint start (+)</t>
  </si>
  <si>
    <t>removed from sprint (-)</t>
  </si>
  <si>
    <t>incomplete</t>
  </si>
  <si>
    <t>capacity guide</t>
  </si>
  <si>
    <t>trend</t>
  </si>
  <si>
    <t>insight</t>
  </si>
  <si>
    <t>achievable sprint goal</t>
  </si>
  <si>
    <t>healthy performance trend</t>
  </si>
  <si>
    <t>sprint goal</t>
  </si>
  <si>
    <t>performance</t>
  </si>
  <si>
    <t>performance trend</t>
  </si>
  <si>
    <t>calculated capacity</t>
  </si>
  <si>
    <t>total work items completed</t>
  </si>
  <si>
    <t>total story points completed</t>
  </si>
  <si>
    <t>total work items unestimated</t>
  </si>
  <si>
    <t>total work items planned</t>
  </si>
  <si>
    <t>completed work items</t>
  </si>
  <si>
    <t>completed story points</t>
  </si>
  <si>
    <t>total emergent work</t>
  </si>
  <si>
    <t>SUM</t>
  </si>
  <si>
    <t>total</t>
  </si>
  <si>
    <t>planned pts</t>
  </si>
  <si>
    <t>completed pts</t>
  </si>
  <si>
    <t>throughput</t>
  </si>
  <si>
    <t>expected</t>
  </si>
  <si>
    <t>Calculated Stats</t>
  </si>
  <si>
    <t>Sprint Summary | Data</t>
  </si>
  <si>
    <t>stats calculated based on cleaned data</t>
  </si>
  <si>
    <t>stats used by Sprint Summary presentation.</t>
  </si>
  <si>
    <t>value</t>
  </si>
  <si>
    <t>sprintName</t>
  </si>
  <si>
    <t>squadName</t>
  </si>
  <si>
    <t>sprintDate_start</t>
  </si>
  <si>
    <t>sprintDate_end</t>
  </si>
  <si>
    <t>sprintOverview_backlogSize_estimate</t>
  </si>
  <si>
    <t>sprintOverview_backlogSize_throughput</t>
  </si>
  <si>
    <t>sprintOverview_completedTotal_estimate</t>
  </si>
  <si>
    <t>sprintOverview_completedTotal_throughput</t>
  </si>
  <si>
    <t>sprintOverview_notCompletedInSprint_estimate</t>
  </si>
  <si>
    <t>sprintOverview_notCompletedInSprint_throughput</t>
  </si>
  <si>
    <t>sprintOverview_committedAtStartOfSprint_estimate</t>
  </si>
  <si>
    <t>sprintOverview_committedAtStartOfSprint_throughput</t>
  </si>
  <si>
    <t>sprintOverview_removedFromSprint_estimate</t>
  </si>
  <si>
    <t>sprintOverview_removedFromSprint_throughput</t>
  </si>
  <si>
    <t>sprintCompletion_notStarted_throughput</t>
  </si>
  <si>
    <t>sprintCompletion_notStarted_estimate</t>
  </si>
  <si>
    <t>sprintCompletion_inProgress_throughput</t>
  </si>
  <si>
    <t>sprintCompletion_inProgress_estimate</t>
  </si>
  <si>
    <t>sprintCompletion_done_throughput</t>
  </si>
  <si>
    <t>sprintCompletion_done_estimate</t>
  </si>
  <si>
    <t>metricConfidence_workitemGranularity</t>
  </si>
  <si>
    <t>metricConfidence_unestimatedWorkPercentage</t>
  </si>
  <si>
    <t>strategy_bauCapacityAllocationPercentage</t>
  </si>
  <si>
    <t>sprintPlanning_targetCapacity_estimate</t>
  </si>
  <si>
    <t>trends_velocityTrends_estimate</t>
  </si>
  <si>
    <t>insights_achievableSprintGoal_estimate</t>
  </si>
  <si>
    <t>insights_healthyPerformanceTarget_estimate</t>
  </si>
  <si>
    <t>Labels</t>
  </si>
  <si>
    <t>Components</t>
  </si>
  <si>
    <t>Labels (done)</t>
  </si>
  <si>
    <t>Labels (total in sprint)</t>
  </si>
  <si>
    <t>csv field</t>
  </si>
  <si>
    <t>csv column index</t>
  </si>
  <si>
    <t>Components (total in sprint)</t>
  </si>
  <si>
    <t>Processed Data</t>
  </si>
  <si>
    <t>Sprint Progress (throughput)</t>
  </si>
  <si>
    <t>Sprint Progress (estimate)</t>
  </si>
  <si>
    <t>status category</t>
  </si>
  <si>
    <t>Todo</t>
  </si>
  <si>
    <t>metric confidence</t>
  </si>
  <si>
    <t>status category (story points)</t>
  </si>
  <si>
    <t>status category (throughtput)</t>
  </si>
  <si>
    <t>estimate</t>
  </si>
  <si>
    <t>DON’T EDIT THIS LIST (USE CONFIG ABOVE)</t>
  </si>
  <si>
    <t>Data in these tables is pulled in from processed | data sheet</t>
  </si>
  <si>
    <t>calculated stats imported from csv</t>
  </si>
  <si>
    <t>Metadata</t>
  </si>
  <si>
    <t>storyPoints</t>
  </si>
  <si>
    <t>Components (done)</t>
  </si>
  <si>
    <t>count</t>
  </si>
  <si>
    <t>Sprint Details</t>
  </si>
  <si>
    <t>Sprint name</t>
  </si>
  <si>
    <t>squad name</t>
  </si>
  <si>
    <t>sprint start date</t>
  </si>
  <si>
    <t>sprint end date</t>
  </si>
  <si>
    <t>emergent work</t>
  </si>
  <si>
    <t>capacity allocation percentage</t>
  </si>
  <si>
    <t>Emergent Work</t>
  </si>
  <si>
    <t>percentage of done work</t>
  </si>
  <si>
    <t>Insights</t>
  </si>
  <si>
    <t>unestimated work in sprint (# items)</t>
  </si>
  <si>
    <t>metricConfidence_totalUnestimatedWorkitems</t>
  </si>
  <si>
    <t>component1</t>
  </si>
  <si>
    <t>component2</t>
  </si>
  <si>
    <t>component3</t>
  </si>
  <si>
    <t>Parents</t>
  </si>
  <si>
    <t>raw data</t>
  </si>
  <si>
    <t>parent summary</t>
  </si>
  <si>
    <t>issue count</t>
  </si>
  <si>
    <t>parent</t>
  </si>
  <si>
    <r>
      <rPr>
        <b/>
        <sz val="8"/>
        <color theme="2" tint="-0.249977111117893"/>
        <rFont val="Calibri"/>
        <family val="2"/>
        <scheme val="minor"/>
      </rPr>
      <t>estimate</t>
    </r>
    <r>
      <rPr>
        <sz val="8"/>
        <color theme="2" tint="-0.249977111117893"/>
        <rFont val="Calibri"/>
        <family val="2"/>
        <scheme val="minor"/>
      </rPr>
      <t xml:space="preserve">
(story points)</t>
    </r>
  </si>
  <si>
    <r>
      <rPr>
        <b/>
        <sz val="8"/>
        <color theme="2" tint="-0.249977111117893"/>
        <rFont val="Calibri"/>
        <family val="2"/>
        <scheme val="minor"/>
      </rPr>
      <t>throughput</t>
    </r>
    <r>
      <rPr>
        <sz val="8"/>
        <color theme="2" tint="-0.249977111117893"/>
        <rFont val="Calibri"/>
        <family val="2"/>
        <scheme val="minor"/>
      </rPr>
      <t xml:space="preserve">
(no. of items)</t>
    </r>
  </si>
  <si>
    <t>labels_Convergence_count</t>
  </si>
  <si>
    <t>labels_Convergence_storyPoints</t>
  </si>
  <si>
    <t>labels_Project_count</t>
  </si>
  <si>
    <t>labels_Project_storyPoints</t>
  </si>
  <si>
    <t>labels_BAU_count</t>
  </si>
  <si>
    <t>labels_BAU_storyPoints</t>
  </si>
  <si>
    <t>labels_FY24Q4-Committed_count</t>
  </si>
  <si>
    <t>labels_FY24Q4-Committed_storyPoints</t>
  </si>
  <si>
    <t>labels_Dataverse_count</t>
  </si>
  <si>
    <t>labels_Dataverse_storyPoints</t>
  </si>
  <si>
    <t>labels_HESTAi_count</t>
  </si>
  <si>
    <t>labels_HESTAi_storyPoints</t>
  </si>
  <si>
    <t>labels_Improvement_count</t>
  </si>
  <si>
    <t>labels_Improvement_storyPoints</t>
  </si>
  <si>
    <t>labels_Integration_count</t>
  </si>
  <si>
    <t>labels_Integration_storyPoints</t>
  </si>
  <si>
    <t>labels_Cloud_count</t>
  </si>
  <si>
    <t>labels_Cloud_storyPoints</t>
  </si>
  <si>
    <t>labels_DEP-Resolution_count</t>
  </si>
  <si>
    <t>labels_DEP-Resolution_storyPoints</t>
  </si>
  <si>
    <t>labels_DIG-DEP.AE_count</t>
  </si>
  <si>
    <t>labels_DIG-DEP.AE_storyPoints</t>
  </si>
  <si>
    <t>labels_Dep.AE_count</t>
  </si>
  <si>
    <t>labels_Dep.AE_storyPoints</t>
  </si>
  <si>
    <t>labels_INT-DEP.AE_count</t>
  </si>
  <si>
    <t>labels_INT-DEP.AE_storyPoints</t>
  </si>
  <si>
    <t>components_Dataverse_count</t>
  </si>
  <si>
    <t>components_Dataverse_storyPoints</t>
  </si>
  <si>
    <t>components_Architecture_count</t>
  </si>
  <si>
    <t>components_Architecture_storyPoints</t>
  </si>
  <si>
    <t>components_Cloud_count</t>
  </si>
  <si>
    <t>components_Cloud_storyPoints</t>
  </si>
  <si>
    <t>components_Partner_count</t>
  </si>
  <si>
    <t>components_Partner_storyPoints</t>
  </si>
  <si>
    <t>completedLabels_Convergence_count</t>
  </si>
  <si>
    <t>completedLabels_Convergence_storyPoints</t>
  </si>
  <si>
    <t>completedLabels_FY24Q4-Committed_count</t>
  </si>
  <si>
    <t>completedLabels_FY24Q4-Committed_storyPoints</t>
  </si>
  <si>
    <t>completedLabels_BAU_count</t>
  </si>
  <si>
    <t>completedLabels_BAU_storyPoints</t>
  </si>
  <si>
    <t>completedLabels_Dataverse_count</t>
  </si>
  <si>
    <t>completedLabels_Dataverse_storyPoints</t>
  </si>
  <si>
    <t>completedLabels_Project_count</t>
  </si>
  <si>
    <t>completedLabels_Project_storyPoints</t>
  </si>
  <si>
    <t>completedLabels_Improvement_count</t>
  </si>
  <si>
    <t>completedLabels_Improvement_storyPoints</t>
  </si>
  <si>
    <t>completedLabels_DEP-Resolution_count</t>
  </si>
  <si>
    <t>completedLabels_DEP-Resolution_storyPoints</t>
  </si>
  <si>
    <t>completedLabels_DIG-DEP.AE_count</t>
  </si>
  <si>
    <t>completedLabels_DIG-DEP.AE_storyPoints</t>
  </si>
  <si>
    <t>completedLabels_Dep.AE_count</t>
  </si>
  <si>
    <t>completedLabels_Dep.AE_storyPoints</t>
  </si>
  <si>
    <t>completedLabels_INT-DEP.AE_count</t>
  </si>
  <si>
    <t>completedLabels_INT-DEP.AE_storyPoints</t>
  </si>
  <si>
    <t>completedComponents_Dataverse_count</t>
  </si>
  <si>
    <t>completedComponents_Dataverse_storyPoints</t>
  </si>
  <si>
    <t>completedComponents_Cloud_count</t>
  </si>
  <si>
    <t>completedComponents_Cloud_storyPoints</t>
  </si>
  <si>
    <t>parents_Cloud Infra &amp; DevOps (BAU)_count</t>
  </si>
  <si>
    <t>parents_Cloud Infra &amp; DevOps (BAU)_storyPoints</t>
  </si>
  <si>
    <t>parents_Visualisation Layer from Dataverse_count</t>
  </si>
  <si>
    <t>parents_Visualisation Layer from Dataverse_storyPoints</t>
  </si>
  <si>
    <t>parents_Dataverse Readiness for Convergence_count</t>
  </si>
  <si>
    <t>parents_Dataverse Readiness for Convergence_storyPoints</t>
  </si>
  <si>
    <t>parents_Improvement | AWS Platform (FY24Q4)_count</t>
  </si>
  <si>
    <t>parents_Improvement | AWS Platform (FY24Q4)_storyPoints</t>
  </si>
  <si>
    <t>parents_Data governance support_count</t>
  </si>
  <si>
    <t>parents_Data governance support_storyPoints</t>
  </si>
  <si>
    <t>parents_GROW Data Ingestion - Incremental load_count</t>
  </si>
  <si>
    <t>parents_GROW Data Ingestion - Incremental load_storyPoints</t>
  </si>
  <si>
    <t>parents_IDS - DAA Cockpit | Cloud_count</t>
  </si>
  <si>
    <t>parents_IDS - DAA Cockpit | Cloud_storyPoints</t>
  </si>
  <si>
    <t>parents_Event Based Stream for non-prod_count</t>
  </si>
  <si>
    <t>parents_Event Based Stream for non-prod_storyPoints</t>
  </si>
  <si>
    <t>parents_Identity Federation | PoC_count</t>
  </si>
  <si>
    <t>parents_Identity Federation | PoC_storyPoints</t>
  </si>
  <si>
    <t>parents_Identity Federation | Go Live_count</t>
  </si>
  <si>
    <t>parents_Identity Federation | Go Live_storyPoints</t>
  </si>
  <si>
    <t>parents_Investments Architecture Support_count</t>
  </si>
  <si>
    <t>parents_Investments Architecture Support_storyPoints</t>
  </si>
  <si>
    <t>parents_Cloud Infrastructure for all channels (PROD)_count</t>
  </si>
  <si>
    <t>parents_Cloud Infrastructure for all channels (PROD)_storyPoints</t>
  </si>
  <si>
    <t>parents_Modern Management Architecture_count</t>
  </si>
  <si>
    <t>parents_Modern Management Architecture_storyPoints</t>
  </si>
  <si>
    <t>parents_Convergence_count</t>
  </si>
  <si>
    <t>parents_Convergence_storyPoints</t>
  </si>
  <si>
    <t>parents_BAU | Architecture Security - ARFS &amp; Reviews_count</t>
  </si>
  <si>
    <t>parents_BAU | Architecture Security - ARFS &amp; Reviews_storyPoints</t>
  </si>
  <si>
    <t>parents_HESTAi - Redactive AI PoC_count</t>
  </si>
  <si>
    <t>parents_HESTAi - Redactive AI PoC_storyPoints</t>
  </si>
  <si>
    <t>parents_HESTAi - Statements QA Automation_count</t>
  </si>
  <si>
    <t>parents_HESTAi - Statements QA Automation_storyPoints</t>
  </si>
  <si>
    <t>parents_Digital Architecture Q4_count</t>
  </si>
  <si>
    <t>parents_Digital Architecture Q4_storyPoints</t>
  </si>
  <si>
    <t>parents_BAU | Cloud Infra &amp; DevOps (FY24Q4)_count</t>
  </si>
  <si>
    <t>parents_BAU | Cloud Infra &amp; DevOps (FY24Q4)_storyPoints</t>
  </si>
  <si>
    <t>parents_BAU | Cloud Data Support (FY24Q4)_count</t>
  </si>
  <si>
    <t>parents_BAU | Cloud Data Support (FY24Q4)_storyPoints</t>
  </si>
  <si>
    <t>parents_Improvement | Dataverse Enhancements (FY24Q4)_count</t>
  </si>
  <si>
    <t>parents_Improvement | Dataverse Enhancements (FY24Q4)_storyPoints</t>
  </si>
  <si>
    <t>parents_IDS - DAA Cockpit | Dataverse_count</t>
  </si>
  <si>
    <t>parents_IDS - DAA Cockpit | Dataverse_storyPoints</t>
  </si>
  <si>
    <t>parents_Data Servicing for IDS_count</t>
  </si>
  <si>
    <t>parents_Data Servicing for IDS_storyPoints</t>
  </si>
  <si>
    <t>parents_Replacement for Digital SMS providor_count</t>
  </si>
  <si>
    <t>parents_Replacement for Digital SMS providor_storyPoints</t>
  </si>
  <si>
    <t>parents_Future planner changes July 1 2024_count</t>
  </si>
  <si>
    <t>parents_Future planner changes July 1 2024_storyPoints</t>
  </si>
  <si>
    <t>parents_undefined_count</t>
  </si>
  <si>
    <t>parents_undefined_storyPoints</t>
  </si>
  <si>
    <t>emergentWork_count</t>
  </si>
  <si>
    <t>emergentWork_storyPoints</t>
  </si>
  <si>
    <t>sprintPlanning_targetCapacity_throughput</t>
  </si>
  <si>
    <t>trends_velocityTrends_throughput</t>
  </si>
  <si>
    <t>insights_achievableSprintGoal_throughput</t>
  </si>
  <si>
    <t>insights_healthyPerformanceTarget_throughput</t>
  </si>
  <si>
    <t>#1</t>
  </si>
  <si>
    <t>ACME Squad</t>
  </si>
  <si>
    <t>committed at sprint start (+)</t>
  </si>
  <si>
    <t>[Optional] Configure the metadata for meta data template.
List below the labels and components you need to report on.
(DON’T Edit BAU/Improvement labels)</t>
  </si>
  <si>
    <t>label3</t>
  </si>
  <si>
    <t>label4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</si>
</sst>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color theme="7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1"/>
      <color theme="0" tint="-4.9989318521683403E-2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2" tint="-0.249977111117893"/>
      <name val="Calibri"/>
      <family val="2"/>
      <scheme val="minor"/>
    </font>
    <font>
      <b/>
      <sz val="8"/>
      <color theme="2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2" tint="-0.499984740745262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1"/>
      <color theme="4" tint="0.3999755851924192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7030A0"/>
        <bgColor indexed="64"/>
      </patternFill>
    </fill>
  </fills>
  <borders count="2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 style="medium">
        <color theme="0" tint="-4.9989318521683403E-2"/>
      </bottom>
      <diagonal/>
    </border>
    <border>
      <left/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/>
      <bottom/>
      <diagonal/>
    </border>
    <border>
      <left/>
      <right/>
      <top/>
      <bottom style="medium">
        <color theme="0" tint="-4.9989318521683403E-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4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0" fillId="5" borderId="0" xfId="0" applyFill="1"/>
    <xf numFmtId="0" fontId="0" fillId="4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2" fillId="5" borderId="0" xfId="0" applyFont="1" applyFill="1"/>
    <xf numFmtId="0" fontId="2" fillId="6" borderId="0" xfId="0" applyFont="1" applyFill="1"/>
    <xf numFmtId="0" fontId="0" fillId="10" borderId="0" xfId="0" applyFill="1"/>
    <xf numFmtId="0" fontId="0" fillId="11" borderId="0" xfId="0" applyFill="1"/>
    <xf numFmtId="0" fontId="2" fillId="8" borderId="0" xfId="0" applyFont="1" applyFill="1"/>
    <xf numFmtId="0" fontId="2" fillId="7" borderId="0" xfId="0" applyFont="1" applyFill="1" applyAlignment="1">
      <alignment horizontal="left"/>
    </xf>
    <xf numFmtId="0" fontId="0" fillId="8" borderId="2" xfId="0" applyFill="1" applyBorder="1"/>
    <xf numFmtId="0" fontId="2" fillId="8" borderId="2" xfId="0" applyFont="1" applyFill="1" applyBorder="1"/>
    <xf numFmtId="0" fontId="0" fillId="8" borderId="2" xfId="0" applyFill="1" applyBorder="1" applyAlignment="1">
      <alignment horizontal="right"/>
    </xf>
    <xf numFmtId="0" fontId="2" fillId="10" borderId="0" xfId="0" applyFont="1" applyFill="1" applyAlignment="1">
      <alignment horizontal="left"/>
    </xf>
    <xf numFmtId="0" fontId="0" fillId="11" borderId="0" xfId="0" applyFill="1" applyAlignment="1">
      <alignment horizontal="left"/>
    </xf>
    <xf numFmtId="0" fontId="2" fillId="5" borderId="0" xfId="0" applyFont="1" applyFill="1" applyAlignment="1">
      <alignment horizontal="left"/>
    </xf>
    <xf numFmtId="0" fontId="0" fillId="9" borderId="0" xfId="0" applyFill="1" applyAlignment="1">
      <alignment horizontal="left"/>
    </xf>
    <xf numFmtId="0" fontId="2" fillId="5" borderId="0" xfId="0" applyFont="1" applyFill="1" applyAlignment="1">
      <alignment horizontal="right"/>
    </xf>
    <xf numFmtId="0" fontId="0" fillId="9" borderId="0" xfId="0" applyFill="1" applyAlignment="1">
      <alignment horizontal="center"/>
    </xf>
    <xf numFmtId="0" fontId="6" fillId="13" borderId="0" xfId="0" applyFont="1" applyFill="1" applyAlignment="1">
      <alignment horizontal="right"/>
    </xf>
    <xf numFmtId="0" fontId="6" fillId="13" borderId="0" xfId="0" applyFont="1" applyFill="1"/>
    <xf numFmtId="0" fontId="0" fillId="15" borderId="0" xfId="0" applyFill="1"/>
    <xf numFmtId="0" fontId="2" fillId="15" borderId="0" xfId="0" applyFont="1" applyFill="1"/>
    <xf numFmtId="0" fontId="0" fillId="16" borderId="0" xfId="0" applyFill="1"/>
    <xf numFmtId="0" fontId="0" fillId="17" borderId="0" xfId="0" applyFill="1"/>
    <xf numFmtId="0" fontId="0" fillId="3" borderId="0" xfId="0" applyFill="1"/>
    <xf numFmtId="0" fontId="0" fillId="18" borderId="0" xfId="0" applyFill="1"/>
    <xf numFmtId="0" fontId="0" fillId="3" borderId="0" xfId="0" applyFill="1" applyAlignment="1">
      <alignment horizontal="center"/>
    </xf>
    <xf numFmtId="0" fontId="2" fillId="4" borderId="0" xfId="0" applyFont="1" applyFill="1"/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2" fillId="20" borderId="0" xfId="0" applyFont="1" applyFill="1"/>
    <xf numFmtId="0" fontId="0" fillId="20" borderId="0" xfId="0" applyFill="1"/>
    <xf numFmtId="0" fontId="0" fillId="21" borderId="0" xfId="0" applyFill="1"/>
    <xf numFmtId="0" fontId="0" fillId="8" borderId="0" xfId="0" applyFill="1" applyAlignment="1">
      <alignment horizontal="right"/>
    </xf>
    <xf numFmtId="0" fontId="3" fillId="22" borderId="0" xfId="0" applyFont="1" applyFill="1"/>
    <xf numFmtId="0" fontId="8" fillId="22" borderId="0" xfId="0" applyFont="1" applyFill="1"/>
    <xf numFmtId="0" fontId="8" fillId="21" borderId="0" xfId="0" applyFont="1" applyFill="1"/>
    <xf numFmtId="0" fontId="0" fillId="22" borderId="0" xfId="0" applyFill="1"/>
    <xf numFmtId="0" fontId="2" fillId="22" borderId="0" xfId="0" applyFont="1" applyFill="1"/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right"/>
    </xf>
    <xf numFmtId="0" fontId="6" fillId="12" borderId="0" xfId="0" applyFont="1" applyFill="1"/>
    <xf numFmtId="0" fontId="2" fillId="0" borderId="0" xfId="0" applyFont="1" applyAlignment="1">
      <alignment horizontal="right"/>
    </xf>
    <xf numFmtId="0" fontId="8" fillId="5" borderId="0" xfId="0" applyFont="1" applyFill="1"/>
    <xf numFmtId="0" fontId="3" fillId="5" borderId="0" xfId="0" applyFont="1" applyFill="1"/>
    <xf numFmtId="0" fontId="0" fillId="6" borderId="0" xfId="0" applyFill="1"/>
    <xf numFmtId="0" fontId="2" fillId="8" borderId="3" xfId="0" applyFont="1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0" fontId="2" fillId="23" borderId="19" xfId="0" applyFont="1" applyFill="1" applyBorder="1"/>
    <xf numFmtId="0" fontId="0" fillId="4" borderId="19" xfId="0" applyFill="1" applyBorder="1"/>
    <xf numFmtId="0" fontId="0" fillId="4" borderId="21" xfId="0" applyFill="1" applyBorder="1"/>
    <xf numFmtId="0" fontId="2" fillId="20" borderId="20" xfId="0" applyFont="1" applyFill="1" applyBorder="1"/>
    <xf numFmtId="0" fontId="0" fillId="24" borderId="20" xfId="0" applyFill="1" applyBorder="1"/>
    <xf numFmtId="0" fontId="0" fillId="24" borderId="22" xfId="0" applyFill="1" applyBorder="1"/>
    <xf numFmtId="0" fontId="11" fillId="17" borderId="23" xfId="0" applyFont="1" applyFill="1" applyBorder="1"/>
    <xf numFmtId="0" fontId="10" fillId="9" borderId="24" xfId="0" applyFont="1" applyFill="1" applyBorder="1"/>
    <xf numFmtId="0" fontId="10" fillId="9" borderId="25" xfId="0" applyFont="1" applyFill="1" applyBorder="1"/>
    <xf numFmtId="0" fontId="0" fillId="4" borderId="0" xfId="0" applyFill="1" applyAlignment="1">
      <alignment horizontal="left"/>
    </xf>
    <xf numFmtId="0" fontId="2" fillId="6" borderId="0" xfId="0" applyFont="1" applyFill="1" applyAlignment="1">
      <alignment horizontal="right"/>
    </xf>
    <xf numFmtId="0" fontId="2" fillId="20" borderId="0" xfId="0" applyFont="1" applyFill="1" applyAlignment="1">
      <alignment horizontal="right"/>
    </xf>
    <xf numFmtId="0" fontId="0" fillId="24" borderId="0" xfId="0" applyFill="1" applyAlignment="1">
      <alignment horizontal="left"/>
    </xf>
    <xf numFmtId="0" fontId="0" fillId="24" borderId="0" xfId="0" applyFill="1" applyAlignment="1">
      <alignment horizontal="right"/>
    </xf>
    <xf numFmtId="0" fontId="0" fillId="7" borderId="0" xfId="0" applyFill="1" applyAlignment="1">
      <alignment horizontal="right"/>
    </xf>
    <xf numFmtId="0" fontId="0" fillId="6" borderId="0" xfId="0" applyFill="1" applyAlignment="1">
      <alignment horizontal="right"/>
    </xf>
    <xf numFmtId="0" fontId="0" fillId="11" borderId="0" xfId="0" applyFill="1" applyAlignment="1">
      <alignment horizontal="right"/>
    </xf>
    <xf numFmtId="0" fontId="7" fillId="25" borderId="0" xfId="0" applyFont="1" applyFill="1"/>
    <xf numFmtId="0" fontId="6" fillId="0" borderId="0" xfId="0" applyFont="1"/>
    <xf numFmtId="0" fontId="2" fillId="17" borderId="0" xfId="0" applyFont="1" applyFill="1"/>
    <xf numFmtId="0" fontId="13" fillId="26" borderId="0" xfId="0" applyFont="1" applyFill="1" applyAlignment="1">
      <alignment horizontal="left" vertical="center"/>
    </xf>
    <xf numFmtId="0" fontId="12" fillId="26" borderId="0" xfId="0" applyFont="1" applyFill="1" applyAlignment="1">
      <alignment horizontal="left" vertical="center"/>
    </xf>
    <xf numFmtId="0" fontId="2" fillId="27" borderId="0" xfId="0" applyFont="1" applyFill="1"/>
    <xf numFmtId="14" fontId="0" fillId="11" borderId="0" xfId="0" applyNumberFormat="1" applyFill="1" applyAlignment="1">
      <alignment horizontal="right"/>
    </xf>
    <xf numFmtId="0" fontId="0" fillId="28" borderId="0" xfId="0" applyFill="1"/>
    <xf numFmtId="0" fontId="0" fillId="9" borderId="0" xfId="0" applyFill="1" applyAlignment="1">
      <alignment horizontal="right"/>
    </xf>
    <xf numFmtId="0" fontId="0" fillId="24" borderId="0" xfId="0" applyFill="1"/>
    <xf numFmtId="0" fontId="2" fillId="24" borderId="0" xfId="0" applyFont="1" applyFill="1"/>
    <xf numFmtId="0" fontId="2" fillId="24" borderId="0" xfId="0" applyFont="1" applyFill="1" applyAlignment="1">
      <alignment horizontal="right"/>
    </xf>
    <xf numFmtId="0" fontId="3" fillId="29" borderId="0" xfId="0" applyFont="1" applyFill="1"/>
    <xf numFmtId="0" fontId="0" fillId="29" borderId="0" xfId="0" applyFill="1"/>
    <xf numFmtId="0" fontId="2" fillId="29" borderId="0" xfId="0" applyFont="1" applyFill="1"/>
    <xf numFmtId="0" fontId="4" fillId="29" borderId="0" xfId="0" applyFont="1" applyFill="1"/>
    <xf numFmtId="0" fontId="5" fillId="29" borderId="1" xfId="1" applyFont="1" applyFill="1"/>
    <xf numFmtId="0" fontId="0" fillId="29" borderId="0" xfId="0" applyFill="1" applyAlignment="1">
      <alignment horizontal="left"/>
    </xf>
    <xf numFmtId="0" fontId="15" fillId="0" borderId="0" xfId="0" applyFont="1"/>
    <xf numFmtId="0" fontId="14" fillId="0" borderId="0" xfId="0" applyFont="1"/>
    <xf numFmtId="0" fontId="16" fillId="30" borderId="0" xfId="0" applyFont="1" applyFill="1"/>
    <xf numFmtId="0" fontId="16" fillId="30" borderId="0" xfId="0" applyFont="1" applyFill="1" applyAlignment="1">
      <alignment horizontal="right"/>
    </xf>
    <xf numFmtId="0" fontId="6" fillId="24" borderId="0" xfId="0" applyFont="1" applyFill="1"/>
    <xf numFmtId="0" fontId="0" fillId="31" borderId="0" xfId="0" applyFill="1"/>
    <xf numFmtId="14" fontId="14" fillId="0" borderId="0" xfId="0" applyNumberFormat="1" applyFont="1"/>
    <xf numFmtId="0" fontId="0" fillId="14" borderId="8" xfId="0" applyFill="1" applyBorder="1"/>
    <xf numFmtId="0" fontId="0" fillId="14" borderId="13" xfId="0" applyFill="1" applyBorder="1"/>
    <xf numFmtId="0" fontId="0" fillId="14" borderId="10" xfId="0" applyFill="1" applyBorder="1"/>
    <xf numFmtId="0" fontId="0" fillId="14" borderId="11" xfId="0" applyFill="1" applyBorder="1"/>
    <xf numFmtId="0" fontId="17" fillId="14" borderId="7" xfId="0" applyFont="1" applyFill="1" applyBorder="1" applyAlignment="1">
      <alignment horizontal="center"/>
    </xf>
    <xf numFmtId="0" fontId="17" fillId="14" borderId="7" xfId="0" applyFont="1" applyFill="1" applyBorder="1"/>
    <xf numFmtId="0" fontId="17" fillId="14" borderId="13" xfId="0" applyFont="1" applyFill="1" applyBorder="1"/>
    <xf numFmtId="0" fontId="17" fillId="14" borderId="0" xfId="0" applyFont="1" applyFill="1" applyAlignment="1">
      <alignment horizontal="center"/>
    </xf>
    <xf numFmtId="0" fontId="17" fillId="14" borderId="0" xfId="0" applyFont="1" applyFill="1" applyAlignment="1">
      <alignment horizontal="right"/>
    </xf>
    <xf numFmtId="0" fontId="17" fillId="14" borderId="14" xfId="0" applyFont="1" applyFill="1" applyBorder="1"/>
    <xf numFmtId="0" fontId="17" fillId="14" borderId="15" xfId="0" applyFont="1" applyFill="1" applyBorder="1" applyAlignment="1">
      <alignment horizontal="center"/>
    </xf>
    <xf numFmtId="0" fontId="17" fillId="14" borderId="11" xfId="0" applyFont="1" applyFill="1" applyBorder="1" applyAlignment="1">
      <alignment horizontal="center"/>
    </xf>
    <xf numFmtId="0" fontId="17" fillId="18" borderId="0" xfId="0" applyFont="1" applyFill="1"/>
    <xf numFmtId="0" fontId="17" fillId="3" borderId="0" xfId="0" applyFont="1" applyFill="1"/>
    <xf numFmtId="0" fontId="20" fillId="14" borderId="14" xfId="0" applyFont="1" applyFill="1" applyBorder="1"/>
    <xf numFmtId="0" fontId="21" fillId="14" borderId="14" xfId="0" applyFont="1" applyFill="1" applyBorder="1" applyAlignment="1">
      <alignment vertical="center"/>
    </xf>
    <xf numFmtId="0" fontId="22" fillId="3" borderId="16" xfId="0" applyFont="1" applyFill="1" applyBorder="1" applyAlignment="1">
      <alignment horizontal="right" vertical="center"/>
    </xf>
    <xf numFmtId="0" fontId="22" fillId="19" borderId="16" xfId="0" applyFont="1" applyFill="1" applyBorder="1" applyAlignment="1">
      <alignment horizontal="right" vertical="center"/>
    </xf>
    <xf numFmtId="0" fontId="24" fillId="19" borderId="16" xfId="0" applyFont="1" applyFill="1" applyBorder="1" applyAlignment="1">
      <alignment horizontal="right" vertical="center"/>
    </xf>
    <xf numFmtId="0" fontId="23" fillId="3" borderId="16" xfId="0" applyFont="1" applyFill="1" applyBorder="1" applyAlignment="1">
      <alignment horizontal="center" vertical="center"/>
    </xf>
    <xf numFmtId="0" fontId="22" fillId="19" borderId="16" xfId="0" applyFont="1" applyFill="1" applyBorder="1" applyAlignment="1">
      <alignment horizontal="center" vertical="center"/>
    </xf>
    <xf numFmtId="0" fontId="24" fillId="19" borderId="16" xfId="0" applyFont="1" applyFill="1" applyBorder="1" applyAlignment="1">
      <alignment horizontal="center" vertical="center"/>
    </xf>
    <xf numFmtId="0" fontId="0" fillId="14" borderId="8" xfId="0" applyFill="1" applyBorder="1" applyAlignment="1">
      <alignment horizontal="center"/>
    </xf>
    <xf numFmtId="0" fontId="0" fillId="14" borderId="13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0" fillId="14" borderId="7" xfId="0" applyFill="1" applyBorder="1" applyAlignment="1">
      <alignment horizontal="center"/>
    </xf>
    <xf numFmtId="0" fontId="0" fillId="14" borderId="15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0" fillId="14" borderId="26" xfId="0" applyFill="1" applyBorder="1" applyAlignment="1">
      <alignment horizontal="center"/>
    </xf>
    <xf numFmtId="0" fontId="0" fillId="14" borderId="5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14" borderId="12" xfId="0" applyFill="1" applyBorder="1" applyAlignment="1">
      <alignment horizontal="center"/>
    </xf>
    <xf numFmtId="0" fontId="0" fillId="14" borderId="9" xfId="0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4" borderId="14" xfId="0" applyFill="1" applyBorder="1" applyAlignment="1">
      <alignment horizontal="center"/>
    </xf>
    <xf numFmtId="0" fontId="18" fillId="14" borderId="16" xfId="0" applyFont="1" applyFill="1" applyBorder="1" applyAlignment="1">
      <alignment horizontal="center" wrapText="1"/>
    </xf>
    <xf numFmtId="0" fontId="9" fillId="17" borderId="17" xfId="0" applyFont="1" applyFill="1" applyBorder="1" applyAlignment="1">
      <alignment horizontal="center" vertical="center"/>
    </xf>
    <xf numFmtId="0" fontId="9" fillId="17" borderId="18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9" fillId="17" borderId="17" xfId="0" applyFont="1" applyFill="1" applyBorder="1" applyAlignment="1">
      <alignment horizontal="center" vertical="center" wrapText="1"/>
    </xf>
    <xf numFmtId="0" fontId="25" fillId="23" borderId="19" xfId="0" applyFont="1" applyFill="1" applyBorder="1"/>
  </cellXfs>
  <cellStyles count="2">
    <cellStyle name="Input" xfId="1" builtinId="20"/>
    <cellStyle name="Normal" xfId="0" builtinId="0"/>
  </cellStyles>
  <dxfs count="4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EA9191"/>
      <color rgb="FFCCCC00"/>
      <color rgb="FF9966FF"/>
      <color rgb="FFFF3300"/>
      <color rgb="FFCC6600"/>
      <color rgb="FF993300"/>
      <color rgb="FF00660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0514278803998795E-2"/>
          <c:y val="0.13023985240575409"/>
          <c:w val="0.35022981458381786"/>
          <c:h val="0.8714799680058786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D5-6F4F-9CB0-3F04AE179A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D5-6F4F-9CB0-3F04AE179A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7D5-6F4F-9CB0-3F04AE179A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7D5-6F4F-9CB0-3F04AE179A2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7D5-6F4F-9CB0-3F04AE179A2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7D5-6F4F-9CB0-3F04AE179A2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7D5-6F4F-9CB0-3F04AE179A2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7D5-6F4F-9CB0-3F04AE179A2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7D5-6F4F-9CB0-3F04AE179A2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7D5-6F4F-9CB0-3F04AE179A2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7D5-6F4F-9CB0-3F04AE179A2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7D5-6F4F-9CB0-3F04AE179A2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7D5-6F4F-9CB0-3F04AE179A2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B7D5-6F4F-9CB0-3F04AE179A2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B7D5-6F4F-9CB0-3F04AE179A2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B7D5-6F4F-9CB0-3F04AE179A2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B7D5-6F4F-9CB0-3F04AE179A2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B7D5-6F4F-9CB0-3F04AE179A2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B7D5-6F4F-9CB0-3F04AE179A2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B7D5-6F4F-9CB0-3F04AE179A2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B7D5-6F4F-9CB0-3F04AE179A2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B7D5-6F4F-9CB0-3F04AE179A2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B7D5-6F4F-9CB0-3F04AE179A2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B7D5-6F4F-9CB0-3F04AE179A2E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B7D5-6F4F-9CB0-3F04AE179A2E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B7D5-6F4F-9CB0-3F04AE179A2E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B7D5-6F4F-9CB0-3F04AE179A2E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B7D5-6F4F-9CB0-3F04AE179A2E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B7D5-6F4F-9CB0-3F04AE179A2E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B7D5-6F4F-9CB0-3F04AE179A2E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B7D5-6F4F-9CB0-3F04AE179A2E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B7D5-6F4F-9CB0-3F04AE179A2E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B7D5-6F4F-9CB0-3F04AE179A2E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B7D5-6F4F-9CB0-3F04AE179A2E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B7D5-6F4F-9CB0-3F04AE179A2E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B7D5-6F4F-9CB0-3F04AE179A2E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B7D5-6F4F-9CB0-3F04AE179A2E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B7D5-6F4F-9CB0-3F04AE179A2E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B7D5-6F4F-9CB0-3F04AE179A2E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B7D5-6F4F-9CB0-3F04AE179A2E}"/>
              </c:ext>
            </c:extLst>
          </c:dPt>
          <c:cat>
            <c:numRef>
              <c:f>'Calculated Stats'!$B$152:$B$191</c:f>
              <c:numCache>
                <c:formatCode>General</c:formatCode>
                <c:ptCount val="40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</c:numCache>
            </c:numRef>
          </c:cat>
          <c:val>
            <c:numRef>
              <c:f>'Calculated Stats'!$C$152:$C$191</c:f>
              <c:numCache>
                <c:formatCode>General</c:formatCode>
                <c:ptCount val="40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B7D5-6F4F-9CB0-3F04AE179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9642264238487035"/>
          <c:y val="8.2130425713004426E-2"/>
          <c:w val="0.58209471449329042"/>
          <c:h val="0.890880651939588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Issue</a:t>
            </a:r>
            <a:r>
              <a:rPr lang="en-GB" baseline="0"/>
              <a:t> Count per Parent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88-9042-914D-E1F23A96F2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88-9042-914D-E1F23A96F2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C88-9042-914D-E1F23A96F2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C88-9042-914D-E1F23A96F2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C88-9042-914D-E1F23A96F2B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C88-9042-914D-E1F23A96F2B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C88-9042-914D-E1F23A96F2B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C88-9042-914D-E1F23A96F2B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C88-9042-914D-E1F23A96F2B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C88-9042-914D-E1F23A96F2B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C88-9042-914D-E1F23A96F2B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C88-9042-914D-E1F23A96F2B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C88-9042-914D-E1F23A96F2B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C88-9042-914D-E1F23A96F2B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1C88-9042-914D-E1F23A96F2B4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1C88-9042-914D-E1F23A96F2B4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1C88-9042-914D-E1F23A96F2B4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1C88-9042-914D-E1F23A96F2B4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1C88-9042-914D-E1F23A96F2B4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1C88-9042-914D-E1F23A96F2B4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1C88-9042-914D-E1F23A96F2B4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1C88-9042-914D-E1F23A96F2B4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1C88-9042-914D-E1F23A96F2B4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1C88-9042-914D-E1F23A96F2B4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1C88-9042-914D-E1F23A96F2B4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1C88-9042-914D-E1F23A96F2B4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1C88-9042-914D-E1F23A96F2B4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1C88-9042-914D-E1F23A96F2B4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1C88-9042-914D-E1F23A96F2B4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1C88-9042-914D-E1F23A96F2B4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1C88-9042-914D-E1F23A96F2B4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1C88-9042-914D-E1F23A96F2B4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1C88-9042-914D-E1F23A96F2B4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1C88-9042-914D-E1F23A96F2B4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1C88-9042-914D-E1F23A96F2B4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1C88-9042-914D-E1F23A96F2B4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1C88-9042-914D-E1F23A96F2B4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1C88-9042-914D-E1F23A96F2B4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1C88-9042-914D-E1F23A96F2B4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1C88-9042-914D-E1F23A96F2B4}"/>
              </c:ext>
            </c:extLst>
          </c:dPt>
          <c:cat>
            <c:numRef>
              <c:f>'Calculated Stats'!$I$152:$I$191</c:f>
              <c:numCache>
                <c:formatCode>General</c:formatCode>
                <c:ptCount val="40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</c:numCache>
            </c:numRef>
          </c:cat>
          <c:val>
            <c:numRef>
              <c:f>'Calculated Stats'!$J$152:$J$191</c:f>
              <c:numCache>
                <c:formatCode>General</c:formatCode>
                <c:ptCount val="40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1C88-9042-914D-E1F23A96F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364964676831362E-3"/>
          <c:y val="1.3891147070242914E-3"/>
          <c:w val="0.99886351706036747"/>
          <c:h val="0.9954521934758154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'Sprint Summary | data'!$I$31</c:f>
              <c:strCache>
                <c:ptCount val="1"/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'Sprint Summary | data'!$J$31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5-CB47-A886-CB9A34E1F5B5}"/>
            </c:ext>
          </c:extLst>
        </c:ser>
        <c:ser>
          <c:idx val="1"/>
          <c:order val="1"/>
          <c:tx>
            <c:strRef>
              <c:f>'Sprint Summary | data'!$I$32</c:f>
              <c:strCache>
                <c:ptCount val="1"/>
                <c:pt idx="0">
                  <c:v>capacity trend</c:v>
                </c:pt>
              </c:strCache>
            </c:strRef>
          </c:tx>
          <c:spPr>
            <a:noFill/>
            <a:ln w="38100"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val>
            <c:numRef>
              <c:f>'Sprint Summary | data'!$J$32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F5-CB47-A886-CB9A34E1F5B5}"/>
            </c:ext>
          </c:extLst>
        </c:ser>
        <c:ser>
          <c:idx val="2"/>
          <c:order val="2"/>
          <c:tx>
            <c:strRef>
              <c:f>'Sprint Summary | data'!$I$33</c:f>
              <c:strCache>
                <c:ptCount val="1"/>
                <c:pt idx="0">
                  <c:v>sprint capacity</c:v>
                </c:pt>
              </c:strCache>
            </c:strRef>
          </c:tx>
          <c:spPr>
            <a:noFill/>
            <a:ln w="38100">
              <a:solidFill>
                <a:srgbClr val="92D050"/>
              </a:solidFill>
            </a:ln>
            <a:effectLst/>
          </c:spPr>
          <c:invertIfNegative val="0"/>
          <c:val>
            <c:numRef>
              <c:f>'Sprint Summary | data'!$J$33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F5-CB47-A886-CB9A34E1F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20742479"/>
        <c:axId val="524997135"/>
      </c:barChart>
      <c:catAx>
        <c:axId val="3207424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24997135"/>
        <c:crosses val="autoZero"/>
        <c:auto val="1"/>
        <c:lblAlgn val="ctr"/>
        <c:lblOffset val="100"/>
        <c:noMultiLvlLbl val="0"/>
      </c:catAx>
      <c:valAx>
        <c:axId val="5249971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2074247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0.24513835770528683"/>
          <c:w val="0.93363922019186019"/>
          <c:h val="0.12749878119054284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b" anchorCtr="0"/>
        <a:lstStyle/>
        <a:p>
          <a:pPr>
            <a:defRPr sz="1200" b="0" i="1" u="none" strike="noStrike" kern="1200" baseline="0">
              <a:ln>
                <a:noFill/>
              </a:ln>
              <a:solidFill>
                <a:schemeClr val="bg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714021041487467E-2"/>
          <c:y val="0.14123530013293792"/>
          <c:w val="0.91547365402854053"/>
          <c:h val="0.41720625830862051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'Sprint Summary | data'!$I$24</c:f>
              <c:strCache>
                <c:ptCount val="1"/>
                <c:pt idx="0">
                  <c:v>not started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'Sprint Summary | data'!$J$24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BD-0D4E-85BF-48359A535961}"/>
            </c:ext>
          </c:extLst>
        </c:ser>
        <c:ser>
          <c:idx val="1"/>
          <c:order val="1"/>
          <c:tx>
            <c:strRef>
              <c:f>'Sprint Summary | data'!$I$25</c:f>
              <c:strCache>
                <c:ptCount val="1"/>
                <c:pt idx="0">
                  <c:v>WIP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'Sprint Summary | data'!$J$25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BD-0D4E-85BF-48359A535961}"/>
            </c:ext>
          </c:extLst>
        </c:ser>
        <c:ser>
          <c:idx val="2"/>
          <c:order val="2"/>
          <c:tx>
            <c:strRef>
              <c:f>'Sprint Summary | data'!$I$26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'Sprint Summary | data'!$J$26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BD-0D4E-85BF-48359A53596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363247039"/>
        <c:axId val="1461553328"/>
      </c:barChart>
      <c:catAx>
        <c:axId val="363247039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61553328"/>
        <c:crosses val="autoZero"/>
        <c:auto val="1"/>
        <c:lblAlgn val="ctr"/>
        <c:lblOffset val="100"/>
        <c:noMultiLvlLbl val="0"/>
      </c:catAx>
      <c:valAx>
        <c:axId val="146155332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36324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3493194718420144E-2"/>
          <c:y val="0.46820320040640079"/>
          <c:w val="0.90982024305785292"/>
          <c:h val="0.219157378055015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266404199475072E-2"/>
          <c:y val="9.5688604962115606E-2"/>
          <c:w val="0.9161780402449694"/>
          <c:h val="0.4838262198357281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'Sprint Summary | data'!$I$19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'Sprint Summary | data'!$J$19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B5-EF4B-B899-D3571EF00960}"/>
            </c:ext>
          </c:extLst>
        </c:ser>
        <c:ser>
          <c:idx val="1"/>
          <c:order val="1"/>
          <c:tx>
            <c:strRef>
              <c:f>'Sprint Summary | data'!$I$20</c:f>
              <c:strCache>
                <c:ptCount val="1"/>
                <c:pt idx="0">
                  <c:v>incomplete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'Sprint Summary | data'!$J$20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B5-EF4B-B899-D3571EF0096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363251679"/>
        <c:axId val="1913504064"/>
      </c:barChart>
      <c:catAx>
        <c:axId val="363251679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13504064"/>
        <c:crosses val="autoZero"/>
        <c:auto val="1"/>
        <c:lblAlgn val="ctr"/>
        <c:lblOffset val="100"/>
        <c:noMultiLvlLbl val="0"/>
      </c:catAx>
      <c:valAx>
        <c:axId val="1913504064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36325167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4.8986319779551153E-2"/>
          <c:y val="0.50002699665241512"/>
          <c:w val="0.91869422572178483"/>
          <c:h val="0.181941974234352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0514278803998795E-2"/>
          <c:y val="0.13023985240575409"/>
          <c:w val="0.35022981458381786"/>
          <c:h val="0.8714799680058786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37-944F-B8A6-5980A61139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37-944F-B8A6-5980A61139D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37-944F-B8A6-5980A61139D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37-944F-B8A6-5980A61139D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037-944F-B8A6-5980A61139D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037-944F-B8A6-5980A61139D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037-944F-B8A6-5980A61139D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037-944F-B8A6-5980A61139D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037-944F-B8A6-5980A61139D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037-944F-B8A6-5980A61139D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037-944F-B8A6-5980A61139D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037-944F-B8A6-5980A61139D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037-944F-B8A6-5980A61139D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037-944F-B8A6-5980A61139D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4037-944F-B8A6-5980A61139D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4037-944F-B8A6-5980A61139D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4037-944F-B8A6-5980A61139D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4037-944F-B8A6-5980A61139D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4037-944F-B8A6-5980A61139D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4037-944F-B8A6-5980A61139D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4037-944F-B8A6-5980A61139D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4037-944F-B8A6-5980A61139D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4037-944F-B8A6-5980A61139D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4037-944F-B8A6-5980A61139D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4037-944F-B8A6-5980A61139D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4037-944F-B8A6-5980A61139D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4037-944F-B8A6-5980A61139D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4037-944F-B8A6-5980A61139D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4037-944F-B8A6-5980A61139D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4037-944F-B8A6-5980A61139D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4037-944F-B8A6-5980A61139D0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4037-944F-B8A6-5980A61139D0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4037-944F-B8A6-5980A61139D0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4037-944F-B8A6-5980A61139D0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4037-944F-B8A6-5980A61139D0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4037-944F-B8A6-5980A61139D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4037-944F-B8A6-5980A61139D0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4037-944F-B8A6-5980A61139D0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4037-944F-B8A6-5980A61139D0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4037-944F-B8A6-5980A61139D0}"/>
              </c:ext>
            </c:extLst>
          </c:dPt>
          <c:cat>
            <c:numRef>
              <c:f>'Calculated Stats'!$B$152:$B$191</c:f>
              <c:numCache>
                <c:formatCode>General</c:formatCode>
                <c:ptCount val="40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</c:numCache>
            </c:numRef>
          </c:cat>
          <c:val>
            <c:numRef>
              <c:f>'Calculated Stats'!$C$152:$C$191</c:f>
              <c:numCache>
                <c:formatCode>General</c:formatCode>
                <c:ptCount val="40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4037-944F-B8A6-5980A6113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9642264238487035"/>
          <c:y val="8.2130425713004426E-2"/>
          <c:w val="0.58209471449329042"/>
          <c:h val="0.890880651939588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Issue</a:t>
            </a:r>
            <a:r>
              <a:rPr lang="en-GB" baseline="0"/>
              <a:t> Count per Parent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CB-4149-9778-2D6709EE8D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CB-4149-9778-2D6709EE8D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CCB-4149-9778-2D6709EE8D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CCB-4149-9778-2D6709EE8D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CCB-4149-9778-2D6709EE8D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CCB-4149-9778-2D6709EE8D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CCB-4149-9778-2D6709EE8D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CCB-4149-9778-2D6709EE8D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CCB-4149-9778-2D6709EE8D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CCB-4149-9778-2D6709EE8D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CCB-4149-9778-2D6709EE8D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CCB-4149-9778-2D6709EE8DA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CCB-4149-9778-2D6709EE8DA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FCCB-4149-9778-2D6709EE8DA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FCCB-4149-9778-2D6709EE8DA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FCCB-4149-9778-2D6709EE8DA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FCCB-4149-9778-2D6709EE8DA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FCCB-4149-9778-2D6709EE8DA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FCCB-4149-9778-2D6709EE8DA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FCCB-4149-9778-2D6709EE8DA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FCCB-4149-9778-2D6709EE8DA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FCCB-4149-9778-2D6709EE8DA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FCCB-4149-9778-2D6709EE8DA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FCCB-4149-9778-2D6709EE8DA3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FCCB-4149-9778-2D6709EE8DA3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FCCB-4149-9778-2D6709EE8DA3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FCCB-4149-9778-2D6709EE8DA3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FCCB-4149-9778-2D6709EE8DA3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FCCB-4149-9778-2D6709EE8DA3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FCCB-4149-9778-2D6709EE8DA3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FCCB-4149-9778-2D6709EE8DA3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FCCB-4149-9778-2D6709EE8DA3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FCCB-4149-9778-2D6709EE8DA3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FCCB-4149-9778-2D6709EE8DA3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FCCB-4149-9778-2D6709EE8DA3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FCCB-4149-9778-2D6709EE8DA3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FCCB-4149-9778-2D6709EE8DA3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FCCB-4149-9778-2D6709EE8DA3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FCCB-4149-9778-2D6709EE8DA3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FCCB-4149-9778-2D6709EE8DA3}"/>
              </c:ext>
            </c:extLst>
          </c:dPt>
          <c:cat>
            <c:numRef>
              <c:f>'Calculated Stats'!$I$152:$I$191</c:f>
              <c:numCache>
                <c:formatCode>General</c:formatCode>
                <c:ptCount val="40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</c:numCache>
            </c:numRef>
          </c:cat>
          <c:val>
            <c:numRef>
              <c:f>'Calculated Stats'!$J$152:$J$191</c:f>
              <c:numCache>
                <c:formatCode>General</c:formatCode>
                <c:ptCount val="40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FCCB-4149-9778-2D6709EE8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364964676831362E-3"/>
          <c:y val="1.3891147070242914E-3"/>
          <c:w val="0.99886351706036747"/>
          <c:h val="0.9954521934758154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'Sprint Summary | data'!$I$31</c:f>
              <c:strCache>
                <c:ptCount val="1"/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'Sprint Summary | data'!$J$31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0-B94D-AB9F-A5282F81CCAE}"/>
            </c:ext>
          </c:extLst>
        </c:ser>
        <c:ser>
          <c:idx val="1"/>
          <c:order val="1"/>
          <c:tx>
            <c:strRef>
              <c:f>'Sprint Summary | data'!$I$32</c:f>
              <c:strCache>
                <c:ptCount val="1"/>
                <c:pt idx="0">
                  <c:v>capacity trend</c:v>
                </c:pt>
              </c:strCache>
            </c:strRef>
          </c:tx>
          <c:spPr>
            <a:noFill/>
            <a:ln w="38100"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val>
            <c:numRef>
              <c:f>'Sprint Summary | data'!$J$32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30-B94D-AB9F-A5282F81CCAE}"/>
            </c:ext>
          </c:extLst>
        </c:ser>
        <c:ser>
          <c:idx val="2"/>
          <c:order val="2"/>
          <c:tx>
            <c:strRef>
              <c:f>'Sprint Summary | data'!$I$33</c:f>
              <c:strCache>
                <c:ptCount val="1"/>
                <c:pt idx="0">
                  <c:v>sprint capacity</c:v>
                </c:pt>
              </c:strCache>
            </c:strRef>
          </c:tx>
          <c:spPr>
            <a:noFill/>
            <a:ln w="38100">
              <a:solidFill>
                <a:srgbClr val="92D050"/>
              </a:solidFill>
            </a:ln>
            <a:effectLst/>
          </c:spPr>
          <c:invertIfNegative val="0"/>
          <c:val>
            <c:numRef>
              <c:f>'Sprint Summary | data'!$J$33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30-B94D-AB9F-A5282F81C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20742479"/>
        <c:axId val="524997135"/>
      </c:barChart>
      <c:catAx>
        <c:axId val="3207424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24997135"/>
        <c:crosses val="autoZero"/>
        <c:auto val="1"/>
        <c:lblAlgn val="ctr"/>
        <c:lblOffset val="100"/>
        <c:noMultiLvlLbl val="0"/>
      </c:catAx>
      <c:valAx>
        <c:axId val="5249971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2074247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0.24513835770528683"/>
          <c:w val="0.93363922019186019"/>
          <c:h val="0.12749878119054284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b" anchorCtr="0"/>
        <a:lstStyle/>
        <a:p>
          <a:pPr>
            <a:defRPr sz="1200" b="0" i="1" u="none" strike="noStrike" kern="1200" baseline="0">
              <a:ln>
                <a:noFill/>
              </a:ln>
              <a:solidFill>
                <a:schemeClr val="bg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714021041487467E-2"/>
          <c:y val="0.14123530013293792"/>
          <c:w val="0.91547365402854053"/>
          <c:h val="0.41720625830862051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'Sprint Summary | data'!$I$24</c:f>
              <c:strCache>
                <c:ptCount val="1"/>
                <c:pt idx="0">
                  <c:v>not started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'Sprint Summary | data'!$J$24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91-AB47-A64F-A8E3249B6FEC}"/>
            </c:ext>
          </c:extLst>
        </c:ser>
        <c:ser>
          <c:idx val="1"/>
          <c:order val="1"/>
          <c:tx>
            <c:strRef>
              <c:f>'Sprint Summary | data'!$I$25</c:f>
              <c:strCache>
                <c:ptCount val="1"/>
                <c:pt idx="0">
                  <c:v>WIP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'Sprint Summary | data'!$J$25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91-AB47-A64F-A8E3249B6FEC}"/>
            </c:ext>
          </c:extLst>
        </c:ser>
        <c:ser>
          <c:idx val="2"/>
          <c:order val="2"/>
          <c:tx>
            <c:strRef>
              <c:f>'Sprint Summary | data'!$I$26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'Sprint Summary | data'!$J$26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91-AB47-A64F-A8E3249B6FE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363247039"/>
        <c:axId val="1461553328"/>
      </c:barChart>
      <c:catAx>
        <c:axId val="363247039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61553328"/>
        <c:crosses val="autoZero"/>
        <c:auto val="1"/>
        <c:lblAlgn val="ctr"/>
        <c:lblOffset val="100"/>
        <c:noMultiLvlLbl val="0"/>
      </c:catAx>
      <c:valAx>
        <c:axId val="146155332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36324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3493194718420144E-2"/>
          <c:y val="0.46820320040640079"/>
          <c:w val="0.90982024305785292"/>
          <c:h val="0.219157378055015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266404199475072E-2"/>
          <c:y val="9.5688604962115606E-2"/>
          <c:w val="0.9161780402449694"/>
          <c:h val="0.4838262198357281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'Sprint Summary | data'!$I$19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'Sprint Summary | data'!$J$19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D-B94D-B272-1A2BF9104887}"/>
            </c:ext>
          </c:extLst>
        </c:ser>
        <c:ser>
          <c:idx val="1"/>
          <c:order val="1"/>
          <c:tx>
            <c:strRef>
              <c:f>'Sprint Summary | data'!$I$20</c:f>
              <c:strCache>
                <c:ptCount val="1"/>
                <c:pt idx="0">
                  <c:v>incomplete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'Sprint Summary | data'!$J$20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FD-B94D-B272-1A2BF9104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363251679"/>
        <c:axId val="1913504064"/>
      </c:barChart>
      <c:catAx>
        <c:axId val="363251679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13504064"/>
        <c:crosses val="autoZero"/>
        <c:auto val="1"/>
        <c:lblAlgn val="ctr"/>
        <c:lblOffset val="100"/>
        <c:noMultiLvlLbl val="0"/>
      </c:catAx>
      <c:valAx>
        <c:axId val="1913504064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36325167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4.8986319779551153E-2"/>
          <c:y val="0.50002699665241512"/>
          <c:w val="0.91869422572178483"/>
          <c:h val="0.181941974234352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3D2-6241-901D-273AF66943F0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3D2-6241-901D-273AF66943F0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3D2-6241-901D-273AF66943F0}"/>
              </c:ext>
            </c:extLst>
          </c:dPt>
          <c:dLbls>
            <c:dLbl>
              <c:idx val="0"/>
              <c:layout>
                <c:manualLayout>
                  <c:x val="1.4324468104341985E-7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6233169108081259"/>
                      <c:h val="0.1443388266123765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3D2-6241-901D-273AF66943F0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D6BEB6E-68E2-4ABF-B894-323C20021F38}" type="CATEGORYNAME">
                      <a:rPr lang="en-US" sz="1000">
                        <a:solidFill>
                          <a:schemeClr val="accent6"/>
                        </a:solidFill>
                      </a:rPr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3D2-6241-901D-273AF66943F0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240A6F4-95AF-409F-84CF-686E33CDA322}" type="CATEGORYNAME">
                      <a:rPr lang="en-US" sz="1000">
                        <a:solidFill>
                          <a:schemeClr val="accent1"/>
                        </a:solidFill>
                      </a:rPr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23D2-6241-901D-273AF66943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'Sprint Summary | data'!$A$29:$A$31</c:f>
              <c:strCache>
                <c:ptCount val="3"/>
                <c:pt idx="0">
                  <c:v>BAU/Improvement</c:v>
                </c:pt>
                <c:pt idx="1">
                  <c:v>label3</c:v>
                </c:pt>
                <c:pt idx="2">
                  <c:v>label4</c:v>
                </c:pt>
              </c:strCache>
            </c:strRef>
          </c:cat>
          <c:val>
            <c:numRef>
              <c:f>'Sprint Summary | data'!$B$29:$B$31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D2-6241-901D-273AF66943F0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F71-C849-BBFC-2B1DF45517C9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F71-C849-BBFC-2B1DF45517C9}"/>
              </c:ext>
            </c:extLst>
          </c:dPt>
          <c:dLbls>
            <c:delete val="1"/>
          </c:dLbls>
          <c:cat>
            <c:strRef>
              <c:f>'Sprint Summary | data'!$I$74:$I$75</c:f>
              <c:strCache>
                <c:ptCount val="2"/>
                <c:pt idx="0">
                  <c:v>BAU</c:v>
                </c:pt>
                <c:pt idx="1">
                  <c:v>Improvement</c:v>
                </c:pt>
              </c:strCache>
            </c:strRef>
          </c:cat>
          <c:val>
            <c:numRef>
              <c:f>'Sprint Summary | data'!$J$74:$J$75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71-C849-BBFC-2B1DF45517C9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E39-2E4C-B95B-6227C046FC96}"/>
              </c:ext>
            </c:extLst>
          </c:dPt>
          <c:dPt>
            <c:idx val="1"/>
            <c:bubble3D val="0"/>
            <c:spPr>
              <a:solidFill>
                <a:srgbClr val="9966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E39-2E4C-B95B-6227C046FC96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E39-2E4C-B95B-6227C046FC9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E39-2E4C-B95B-6227C046FC9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E39-2E4C-B95B-6227C046FC9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E39-2E4C-B95B-6227C046FC9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'Sprint Summary | data'!$Q$40:$Q$42</c:f>
              <c:strCache>
                <c:ptCount val="3"/>
                <c:pt idx="0">
                  <c:v>component1</c:v>
                </c:pt>
                <c:pt idx="1">
                  <c:v>component2</c:v>
                </c:pt>
                <c:pt idx="2">
                  <c:v>component3</c:v>
                </c:pt>
              </c:strCache>
            </c:strRef>
          </c:cat>
          <c:val>
            <c:numRef>
              <c:f>'Sprint Summary | data'!$R$40:$R$42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E39-2E4C-B95B-6227C046FC96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'Sprint Summary | data'!$I$59</c:f>
              <c:strCache>
                <c:ptCount val="1"/>
                <c:pt idx="0">
                  <c:v>actual work completed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val>
            <c:numRef>
              <c:f>'Sprint Summary | data'!$J$59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A0-B845-A32D-37B55D83A5FA}"/>
            </c:ext>
          </c:extLst>
        </c:ser>
        <c:ser>
          <c:idx val="1"/>
          <c:order val="1"/>
          <c:tx>
            <c:strRef>
              <c:f>'Sprint Summary | data'!$I$60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5A0-B845-A32D-37B55D83A5FA}"/>
              </c:ext>
            </c:extLst>
          </c:dPt>
          <c:val>
            <c:numRef>
              <c:f>'Sprint Summary | data'!$J$60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A0-B845-A32D-37B55D83A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24"/>
        <c:axId val="304081647"/>
        <c:axId val="1027335328"/>
      </c:barChart>
      <c:catAx>
        <c:axId val="3040816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27335328"/>
        <c:crosses val="autoZero"/>
        <c:auto val="1"/>
        <c:lblAlgn val="ctr"/>
        <c:lblOffset val="100"/>
        <c:noMultiLvlLbl val="0"/>
      </c:catAx>
      <c:valAx>
        <c:axId val="10273353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04081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1.6208247941610027E-3"/>
          <c:y val="0.32748542795786895"/>
          <c:w val="0.30563237814451277"/>
          <c:h val="0.41490404608514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svg"/><Relationship Id="rId3" Type="http://schemas.openxmlformats.org/officeDocument/2006/relationships/chart" Target="../charts/chart2.xml"/><Relationship Id="rId7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11" Type="http://schemas.openxmlformats.org/officeDocument/2006/relationships/image" Target="../media/image6.png"/><Relationship Id="rId5" Type="http://schemas.openxmlformats.org/officeDocument/2006/relationships/chart" Target="../charts/chart4.xml"/><Relationship Id="rId10" Type="http://schemas.openxmlformats.org/officeDocument/2006/relationships/image" Target="../media/image5.svg"/><Relationship Id="rId4" Type="http://schemas.openxmlformats.org/officeDocument/2006/relationships/chart" Target="../charts/chart3.xml"/><Relationship Id="rId9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13" Type="http://schemas.openxmlformats.org/officeDocument/2006/relationships/chart" Target="../charts/chart12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12" Type="http://schemas.openxmlformats.org/officeDocument/2006/relationships/chart" Target="../charts/chart11.xml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chart" Target="../charts/chart9.xml"/><Relationship Id="rId11" Type="http://schemas.openxmlformats.org/officeDocument/2006/relationships/image" Target="../media/image5.svg"/><Relationship Id="rId5" Type="http://schemas.openxmlformats.org/officeDocument/2006/relationships/chart" Target="../charts/chart8.xml"/><Relationship Id="rId15" Type="http://schemas.openxmlformats.org/officeDocument/2006/relationships/chart" Target="../charts/chart14.xml"/><Relationship Id="rId10" Type="http://schemas.openxmlformats.org/officeDocument/2006/relationships/image" Target="../media/image4.png"/><Relationship Id="rId4" Type="http://schemas.openxmlformats.org/officeDocument/2006/relationships/chart" Target="../charts/chart7.xml"/><Relationship Id="rId9" Type="http://schemas.openxmlformats.org/officeDocument/2006/relationships/image" Target="../media/image3.svg"/><Relationship Id="rId1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1</xdr:row>
      <xdr:rowOff>122464</xdr:rowOff>
    </xdr:from>
    <xdr:to>
      <xdr:col>4</xdr:col>
      <xdr:colOff>901699</xdr:colOff>
      <xdr:row>2</xdr:row>
      <xdr:rowOff>966107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CC70888-612D-EA44-954D-3FBF38B3E81C}"/>
            </a:ext>
          </a:extLst>
        </xdr:cNvPr>
        <xdr:cNvSpPr txBox="1"/>
      </xdr:nvSpPr>
      <xdr:spPr>
        <a:xfrm>
          <a:off x="844550" y="655864"/>
          <a:ext cx="7092949" cy="9706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AU" sz="7200" b="1"/>
            <a:t>Sprint Summary</a:t>
          </a:r>
        </a:p>
      </xdr:txBody>
    </xdr:sp>
    <xdr:clientData/>
  </xdr:twoCellAnchor>
  <xdr:twoCellAnchor>
    <xdr:from>
      <xdr:col>2</xdr:col>
      <xdr:colOff>1009540</xdr:colOff>
      <xdr:row>2</xdr:row>
      <xdr:rowOff>1113348</xdr:rowOff>
    </xdr:from>
    <xdr:to>
      <xdr:col>6</xdr:col>
      <xdr:colOff>12699</xdr:colOff>
      <xdr:row>2</xdr:row>
      <xdr:rowOff>1637676</xdr:rowOff>
    </xdr:to>
    <xdr:sp macro="" textlink="'Sprint Summary | data'!B5">
      <xdr:nvSpPr>
        <xdr:cNvPr id="3" name="TextBox 2">
          <a:extLst>
            <a:ext uri="{FF2B5EF4-FFF2-40B4-BE49-F238E27FC236}">
              <a16:creationId xmlns:a16="http://schemas.microsoft.com/office/drawing/2014/main" id="{D8C5580C-CFB7-A348-8CE0-37512765D03B}"/>
            </a:ext>
          </a:extLst>
        </xdr:cNvPr>
        <xdr:cNvSpPr txBox="1"/>
      </xdr:nvSpPr>
      <xdr:spPr>
        <a:xfrm>
          <a:off x="1796940" y="1773748"/>
          <a:ext cx="10687159" cy="5243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27AAE4-6848-F34A-B44F-24CDDF2D445C}" type="TxLink">
            <a:rPr lang="en-US" sz="3200" b="0" i="0" u="none" strike="noStrike">
              <a:solidFill>
                <a:schemeClr val="bg2">
                  <a:lumMod val="50000"/>
                </a:schemeClr>
              </a:solidFill>
              <a:latin typeface="Calibri"/>
              <a:cs typeface="Calibri"/>
            </a:rPr>
            <a:pPr/>
            <a:t>0</a:t>
          </a:fld>
          <a:endParaRPr lang="en-AU" sz="32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10</xdr:col>
      <xdr:colOff>0</xdr:colOff>
      <xdr:row>2</xdr:row>
      <xdr:rowOff>30842</xdr:rowOff>
    </xdr:from>
    <xdr:to>
      <xdr:col>13</xdr:col>
      <xdr:colOff>1816</xdr:colOff>
      <xdr:row>2</xdr:row>
      <xdr:rowOff>415017</xdr:rowOff>
    </xdr:to>
    <xdr:sp macro="" textlink="'Sprint Summary | data'!B6">
      <xdr:nvSpPr>
        <xdr:cNvPr id="4" name="TextBox 3">
          <a:extLst>
            <a:ext uri="{FF2B5EF4-FFF2-40B4-BE49-F238E27FC236}">
              <a16:creationId xmlns:a16="http://schemas.microsoft.com/office/drawing/2014/main" id="{D408F3A4-AF42-2C45-8939-4F3EA63C47DF}"/>
            </a:ext>
          </a:extLst>
        </xdr:cNvPr>
        <xdr:cNvSpPr txBox="1"/>
      </xdr:nvSpPr>
      <xdr:spPr>
        <a:xfrm>
          <a:off x="16700500" y="691242"/>
          <a:ext cx="4218216" cy="384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B0305EC1-9F5F-4CD7-82A2-F612A2B4CAAD}" type="TxLink">
            <a:rPr lang="en-US" sz="2800" b="0" i="0" u="none" strike="noStrike">
              <a:solidFill>
                <a:schemeClr val="bg2">
                  <a:lumMod val="75000"/>
                </a:schemeClr>
              </a:solidFill>
              <a:latin typeface="Calibri"/>
              <a:cs typeface="Calibri"/>
            </a:rPr>
            <a:pPr algn="r"/>
            <a:t>0</a:t>
          </a:fld>
          <a:endParaRPr lang="en-AU" sz="2800" b="1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774700</xdr:colOff>
      <xdr:row>2</xdr:row>
      <xdr:rowOff>1293585</xdr:rowOff>
    </xdr:from>
    <xdr:to>
      <xdr:col>12</xdr:col>
      <xdr:colOff>1622425</xdr:colOff>
      <xdr:row>2</xdr:row>
      <xdr:rowOff>1674585</xdr:rowOff>
    </xdr:to>
    <xdr:sp macro="" textlink="'Sprint Summary | data'!B7">
      <xdr:nvSpPr>
        <xdr:cNvPr id="5" name="TextBox 4">
          <a:extLst>
            <a:ext uri="{FF2B5EF4-FFF2-40B4-BE49-F238E27FC236}">
              <a16:creationId xmlns:a16="http://schemas.microsoft.com/office/drawing/2014/main" id="{3A3EAE4A-BB26-814C-9028-8374039BEDFA}"/>
            </a:ext>
          </a:extLst>
        </xdr:cNvPr>
        <xdr:cNvSpPr txBox="1"/>
      </xdr:nvSpPr>
      <xdr:spPr>
        <a:xfrm>
          <a:off x="16687800" y="1953985"/>
          <a:ext cx="319722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fld id="{766B107E-1E42-4E33-A7FD-53081539D181}" type="TxLink">
            <a:rPr lang="en-US" sz="1600" b="0" i="0" u="none" strike="noStrike">
              <a:solidFill>
                <a:schemeClr val="bg2">
                  <a:lumMod val="75000"/>
                </a:schemeClr>
              </a:solidFill>
              <a:latin typeface="Calibri"/>
              <a:cs typeface="Calibri"/>
            </a:rPr>
            <a:pPr algn="r"/>
            <a:t>00/01/1900 - 00/01/1900</a:t>
          </a:fld>
          <a:endParaRPr lang="en-AU" sz="1600" b="1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67747</xdr:colOff>
      <xdr:row>3</xdr:row>
      <xdr:rowOff>66036</xdr:rowOff>
    </xdr:from>
    <xdr:to>
      <xdr:col>2</xdr:col>
      <xdr:colOff>2505811</xdr:colOff>
      <xdr:row>3</xdr:row>
      <xdr:rowOff>667925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A5E0A02-0F74-3B4C-9957-D5355C40C28D}"/>
            </a:ext>
          </a:extLst>
        </xdr:cNvPr>
        <xdr:cNvGrpSpPr/>
      </xdr:nvGrpSpPr>
      <xdr:grpSpPr>
        <a:xfrm>
          <a:off x="855147" y="2466336"/>
          <a:ext cx="2438064" cy="601889"/>
          <a:chOff x="1920877" y="1854200"/>
          <a:chExt cx="2470148" cy="536575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E2E3305E-6F37-71A4-02D6-B76300C6B567}"/>
              </a:ext>
            </a:extLst>
          </xdr:cNvPr>
          <xdr:cNvSpPr txBox="1"/>
        </xdr:nvSpPr>
        <xdr:spPr>
          <a:xfrm>
            <a:off x="1920877" y="1854200"/>
            <a:ext cx="2257423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 i="0" u="none" strike="noStrike">
                <a:solidFill>
                  <a:schemeClr val="tx1"/>
                </a:solidFill>
                <a:latin typeface="Calibri"/>
                <a:cs typeface="Calibri"/>
              </a:rPr>
              <a:t>Burnup</a:t>
            </a:r>
            <a:r>
              <a:rPr lang="en-US" sz="1600" b="1" i="0" u="none" strike="noStrike" baseline="0">
                <a:solidFill>
                  <a:schemeClr val="tx1"/>
                </a:solidFill>
                <a:latin typeface="Calibri"/>
                <a:cs typeface="Calibri"/>
              </a:rPr>
              <a:t> Chart</a:t>
            </a:r>
            <a:endParaRPr lang="en-US" sz="1600" b="1" i="0" u="none" strike="noStrike">
              <a:solidFill>
                <a:schemeClr val="tx1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8DF643EB-C945-3130-1926-14998239BD79}"/>
              </a:ext>
            </a:extLst>
          </xdr:cNvPr>
          <xdr:cNvSpPr txBox="1"/>
        </xdr:nvSpPr>
        <xdr:spPr>
          <a:xfrm>
            <a:off x="1933576" y="2101850"/>
            <a:ext cx="2457449" cy="288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1" u="none" strike="noStrike">
                <a:solidFill>
                  <a:schemeClr val="bg2">
                    <a:lumMod val="50000"/>
                  </a:schemeClr>
                </a:solidFill>
                <a:latin typeface="Calibri"/>
                <a:cs typeface="Calibri"/>
              </a:rPr>
              <a:t>sprint workload delivery</a:t>
            </a:r>
          </a:p>
        </xdr:txBody>
      </xdr:sp>
    </xdr:grpSp>
    <xdr:clientData/>
  </xdr:twoCellAnchor>
  <xdr:twoCellAnchor>
    <xdr:from>
      <xdr:col>2</xdr:col>
      <xdr:colOff>99360</xdr:colOff>
      <xdr:row>5</xdr:row>
      <xdr:rowOff>93590</xdr:rowOff>
    </xdr:from>
    <xdr:to>
      <xdr:col>2</xdr:col>
      <xdr:colOff>2791513</xdr:colOff>
      <xdr:row>5</xdr:row>
      <xdr:rowOff>669502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3E81865E-469E-F940-8B39-F23E4269405F}"/>
            </a:ext>
          </a:extLst>
        </xdr:cNvPr>
        <xdr:cNvGrpSpPr/>
      </xdr:nvGrpSpPr>
      <xdr:grpSpPr>
        <a:xfrm>
          <a:off x="886760" y="6189590"/>
          <a:ext cx="2692153" cy="575912"/>
          <a:chOff x="1920877" y="1854200"/>
          <a:chExt cx="2679967" cy="536575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5E2A09AF-711E-0214-01C0-5EFB06A87043}"/>
              </a:ext>
            </a:extLst>
          </xdr:cNvPr>
          <xdr:cNvSpPr txBox="1"/>
        </xdr:nvSpPr>
        <xdr:spPr>
          <a:xfrm>
            <a:off x="1920877" y="1854200"/>
            <a:ext cx="2257423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 i="0" u="none" strike="noStrike">
                <a:solidFill>
                  <a:schemeClr val="tx1"/>
                </a:solidFill>
                <a:latin typeface="Calibri"/>
                <a:cs typeface="Calibri"/>
              </a:rPr>
              <a:t>Sprint</a:t>
            </a:r>
            <a:r>
              <a:rPr lang="en-US" sz="1600" b="1" i="0" u="none" strike="noStrike" baseline="0">
                <a:solidFill>
                  <a:schemeClr val="tx1"/>
                </a:solidFill>
                <a:latin typeface="Calibri"/>
                <a:cs typeface="Calibri"/>
              </a:rPr>
              <a:t> Velocity Chart</a:t>
            </a:r>
            <a:endParaRPr lang="en-US" sz="1600" b="1" i="0" u="none" strike="noStrike">
              <a:solidFill>
                <a:schemeClr val="tx1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78EB7662-885B-0123-F94A-E5E24B5464EE}"/>
              </a:ext>
            </a:extLst>
          </xdr:cNvPr>
          <xdr:cNvSpPr txBox="1"/>
        </xdr:nvSpPr>
        <xdr:spPr>
          <a:xfrm>
            <a:off x="1933576" y="2101850"/>
            <a:ext cx="2667268" cy="288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1" u="none" strike="noStrike">
                <a:solidFill>
                  <a:schemeClr val="bg2">
                    <a:lumMod val="50000"/>
                  </a:schemeClr>
                </a:solidFill>
                <a:latin typeface="Calibri"/>
                <a:cs typeface="Calibri"/>
              </a:rPr>
              <a:t>sprint on sprint performance consistency</a:t>
            </a:r>
          </a:p>
        </xdr:txBody>
      </xdr:sp>
    </xdr:grpSp>
    <xdr:clientData/>
  </xdr:twoCellAnchor>
  <xdr:twoCellAnchor>
    <xdr:from>
      <xdr:col>2</xdr:col>
      <xdr:colOff>65768</xdr:colOff>
      <xdr:row>2</xdr:row>
      <xdr:rowOff>1197060</xdr:rowOff>
    </xdr:from>
    <xdr:to>
      <xdr:col>2</xdr:col>
      <xdr:colOff>1068345</xdr:colOff>
      <xdr:row>2</xdr:row>
      <xdr:rowOff>1647370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9B110A7-6F3A-A94B-AB3A-5589740DA9CA}"/>
            </a:ext>
          </a:extLst>
        </xdr:cNvPr>
        <xdr:cNvSpPr txBox="1"/>
      </xdr:nvSpPr>
      <xdr:spPr>
        <a:xfrm>
          <a:off x="853168" y="1857460"/>
          <a:ext cx="1002577" cy="4503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0" i="0" u="none" strike="noStrike">
              <a:solidFill>
                <a:schemeClr val="bg2">
                  <a:lumMod val="75000"/>
                </a:schemeClr>
              </a:solidFill>
              <a:latin typeface="Calibri"/>
              <a:cs typeface="Calibri"/>
            </a:rPr>
            <a:t>squad:</a:t>
          </a:r>
        </a:p>
      </xdr:txBody>
    </xdr:sp>
    <xdr:clientData/>
  </xdr:twoCellAnchor>
  <xdr:twoCellAnchor>
    <xdr:from>
      <xdr:col>12</xdr:col>
      <xdr:colOff>126575</xdr:colOff>
      <xdr:row>9</xdr:row>
      <xdr:rowOff>10886</xdr:rowOff>
    </xdr:from>
    <xdr:to>
      <xdr:col>12</xdr:col>
      <xdr:colOff>2536372</xdr:colOff>
      <xdr:row>10</xdr:row>
      <xdr:rowOff>1449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213EE10-4467-AB41-AEB9-108910459E9A}"/>
            </a:ext>
          </a:extLst>
        </xdr:cNvPr>
        <xdr:cNvSpPr txBox="1"/>
      </xdr:nvSpPr>
      <xdr:spPr>
        <a:xfrm>
          <a:off x="18389175" y="8011886"/>
          <a:ext cx="2409797" cy="2699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AU" sz="1000" b="1">
              <a:solidFill>
                <a:schemeClr val="tx1"/>
              </a:solidFill>
            </a:rPr>
            <a:t>healthy performance trend</a:t>
          </a:r>
        </a:p>
      </xdr:txBody>
    </xdr:sp>
    <xdr:clientData/>
  </xdr:twoCellAnchor>
  <xdr:twoCellAnchor>
    <xdr:from>
      <xdr:col>12</xdr:col>
      <xdr:colOff>122256</xdr:colOff>
      <xdr:row>10</xdr:row>
      <xdr:rowOff>10886</xdr:rowOff>
    </xdr:from>
    <xdr:to>
      <xdr:col>12</xdr:col>
      <xdr:colOff>2008839</xdr:colOff>
      <xdr:row>10</xdr:row>
      <xdr:rowOff>275993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1F2D181-F5AE-F44F-8F89-EFCB2192FB8F}"/>
            </a:ext>
          </a:extLst>
        </xdr:cNvPr>
        <xdr:cNvSpPr txBox="1"/>
      </xdr:nvSpPr>
      <xdr:spPr>
        <a:xfrm>
          <a:off x="18384856" y="8291286"/>
          <a:ext cx="1886583" cy="2651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AU" sz="1000" b="1">
              <a:solidFill>
                <a:schemeClr val="tx1"/>
              </a:solidFill>
              <a:latin typeface="+mn-lt"/>
              <a:ea typeface="+mn-ea"/>
              <a:cs typeface="+mn-cs"/>
            </a:rPr>
            <a:t>achievable sprint goal</a:t>
          </a:r>
        </a:p>
      </xdr:txBody>
    </xdr:sp>
    <xdr:clientData/>
  </xdr:twoCellAnchor>
  <xdr:twoCellAnchor>
    <xdr:from>
      <xdr:col>2</xdr:col>
      <xdr:colOff>75633</xdr:colOff>
      <xdr:row>3</xdr:row>
      <xdr:rowOff>811030</xdr:rowOff>
    </xdr:from>
    <xdr:to>
      <xdr:col>3</xdr:col>
      <xdr:colOff>3058282</xdr:colOff>
      <xdr:row>4</xdr:row>
      <xdr:rowOff>1519908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1BD4FC3F-5F23-F047-B2B4-DC66C511C7DA}"/>
            </a:ext>
          </a:extLst>
        </xdr:cNvPr>
        <xdr:cNvGrpSpPr/>
      </xdr:nvGrpSpPr>
      <xdr:grpSpPr>
        <a:xfrm>
          <a:off x="863033" y="3211330"/>
          <a:ext cx="6094149" cy="2563078"/>
          <a:chOff x="932148" y="3160997"/>
          <a:chExt cx="6179038" cy="2168711"/>
        </a:xfrm>
      </xdr:grpSpPr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8998FFAF-932E-BFEE-F43E-14D41D920A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32148" y="3160997"/>
            <a:ext cx="6179038" cy="2168711"/>
          </a:xfrm>
          <a:prstGeom prst="rect">
            <a:avLst/>
          </a:prstGeom>
        </xdr:spPr>
      </xdr:pic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81600259-7172-6459-F4C3-FA7265B33E34}"/>
              </a:ext>
            </a:extLst>
          </xdr:cNvPr>
          <xdr:cNvSpPr txBox="1"/>
        </xdr:nvSpPr>
        <xdr:spPr>
          <a:xfrm rot="821982">
            <a:off x="2271839" y="3848501"/>
            <a:ext cx="3756756" cy="7978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6600">
                <a:solidFill>
                  <a:srgbClr val="EA9191"/>
                </a:solidFill>
                <a:latin typeface="Stencil" pitchFamily="82" charset="77"/>
              </a:rPr>
              <a:t>SAMPLE</a:t>
            </a:r>
          </a:p>
        </xdr:txBody>
      </xdr:sp>
    </xdr:grpSp>
    <xdr:clientData/>
  </xdr:twoCellAnchor>
  <xdr:twoCellAnchor>
    <xdr:from>
      <xdr:col>2</xdr:col>
      <xdr:colOff>62659</xdr:colOff>
      <xdr:row>15</xdr:row>
      <xdr:rowOff>515258</xdr:rowOff>
    </xdr:from>
    <xdr:to>
      <xdr:col>3</xdr:col>
      <xdr:colOff>3018971</xdr:colOff>
      <xdr:row>16</xdr:row>
      <xdr:rowOff>1596573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A3E7109-3F5C-4045-8AF4-30966C7392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6956902</xdr:colOff>
      <xdr:row>20</xdr:row>
      <xdr:rowOff>134867</xdr:rowOff>
    </xdr:from>
    <xdr:to>
      <xdr:col>7</xdr:col>
      <xdr:colOff>438318</xdr:colOff>
      <xdr:row>46</xdr:row>
      <xdr:rowOff>67434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5806FE17-BB6F-7447-BF73-5A212A3B74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14</xdr:col>
      <xdr:colOff>286775</xdr:colOff>
      <xdr:row>7</xdr:row>
      <xdr:rowOff>232151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65BDEF4-CF63-5F40-AAF3-69F98F1881F3}"/>
            </a:ext>
          </a:extLst>
        </xdr:cNvPr>
        <xdr:cNvSpPr txBox="1"/>
      </xdr:nvSpPr>
      <xdr:spPr>
        <a:xfrm>
          <a:off x="21368775" y="767435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twoCellAnchor>
    <xdr:from>
      <xdr:col>10</xdr:col>
      <xdr:colOff>81370</xdr:colOff>
      <xdr:row>3</xdr:row>
      <xdr:rowOff>89275</xdr:rowOff>
    </xdr:from>
    <xdr:to>
      <xdr:col>12</xdr:col>
      <xdr:colOff>454053</xdr:colOff>
      <xdr:row>3</xdr:row>
      <xdr:rowOff>620708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6E405D24-5F58-E243-B59D-CCEFD73F072F}"/>
            </a:ext>
          </a:extLst>
        </xdr:cNvPr>
        <xdr:cNvGrpSpPr/>
      </xdr:nvGrpSpPr>
      <xdr:grpSpPr>
        <a:xfrm>
          <a:off x="16794570" y="2489575"/>
          <a:ext cx="1934783" cy="531433"/>
          <a:chOff x="1920877" y="1854200"/>
          <a:chExt cx="1808134" cy="536575"/>
        </a:xfrm>
      </xdr:grpSpPr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7EE4C9E9-A50F-14F0-1F7D-98AC2DFABA06}"/>
              </a:ext>
            </a:extLst>
          </xdr:cNvPr>
          <xdr:cNvSpPr txBox="1"/>
        </xdr:nvSpPr>
        <xdr:spPr>
          <a:xfrm>
            <a:off x="1920877" y="1854200"/>
            <a:ext cx="1808134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 i="0" u="none" strike="noStrike">
                <a:solidFill>
                  <a:schemeClr val="tx1"/>
                </a:solidFill>
                <a:latin typeface="Calibri"/>
                <a:cs typeface="Calibri"/>
              </a:rPr>
              <a:t>Throughput</a:t>
            </a:r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527F6A6E-11A2-4747-3C4A-AFFE5FBE368B}"/>
              </a:ext>
            </a:extLst>
          </xdr:cNvPr>
          <xdr:cNvSpPr txBox="1"/>
        </xdr:nvSpPr>
        <xdr:spPr>
          <a:xfrm>
            <a:off x="1933576" y="2101850"/>
            <a:ext cx="1766119" cy="288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1" u="none" strike="noStrike">
                <a:solidFill>
                  <a:schemeClr val="bg2">
                    <a:lumMod val="50000"/>
                  </a:schemeClr>
                </a:solidFill>
                <a:latin typeface="Calibri"/>
                <a:cs typeface="Calibri"/>
              </a:rPr>
              <a:t>no. of items</a:t>
            </a:r>
          </a:p>
        </xdr:txBody>
      </xdr:sp>
    </xdr:grpSp>
    <xdr:clientData/>
  </xdr:twoCellAnchor>
  <xdr:twoCellAnchor>
    <xdr:from>
      <xdr:col>7</xdr:col>
      <xdr:colOff>348547</xdr:colOff>
      <xdr:row>3</xdr:row>
      <xdr:rowOff>90006</xdr:rowOff>
    </xdr:from>
    <xdr:to>
      <xdr:col>9</xdr:col>
      <xdr:colOff>689012</xdr:colOff>
      <xdr:row>3</xdr:row>
      <xdr:rowOff>621439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171196C3-0EC1-1847-ABCE-685FBD06B236}"/>
            </a:ext>
          </a:extLst>
        </xdr:cNvPr>
        <xdr:cNvGrpSpPr/>
      </xdr:nvGrpSpPr>
      <xdr:grpSpPr>
        <a:xfrm>
          <a:off x="13721647" y="2490306"/>
          <a:ext cx="2918565" cy="531433"/>
          <a:chOff x="2623745" y="1854200"/>
          <a:chExt cx="1815534" cy="536575"/>
        </a:xfrm>
      </xdr:grpSpPr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5582D82A-4415-FDA9-4095-B4C7D1738F4F}"/>
              </a:ext>
            </a:extLst>
          </xdr:cNvPr>
          <xdr:cNvSpPr txBox="1"/>
        </xdr:nvSpPr>
        <xdr:spPr>
          <a:xfrm>
            <a:off x="2675674" y="1854200"/>
            <a:ext cx="1763605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en-US" sz="1600" b="1" i="0" u="none" strike="noStrike">
                <a:solidFill>
                  <a:schemeClr val="tx1"/>
                </a:solidFill>
                <a:latin typeface="Calibri"/>
                <a:cs typeface="Calibri"/>
              </a:rPr>
              <a:t>Estimate</a:t>
            </a: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CC0F129D-3173-5AFA-4F1E-2C04C3AE15B2}"/>
              </a:ext>
            </a:extLst>
          </xdr:cNvPr>
          <xdr:cNvSpPr txBox="1"/>
        </xdr:nvSpPr>
        <xdr:spPr>
          <a:xfrm>
            <a:off x="2623745" y="2101850"/>
            <a:ext cx="1767280" cy="288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en-US" sz="1100" b="0" i="1" u="none" strike="noStrike">
                <a:solidFill>
                  <a:schemeClr val="bg2">
                    <a:lumMod val="50000"/>
                  </a:schemeClr>
                </a:solidFill>
                <a:latin typeface="Calibri"/>
                <a:cs typeface="Calibri"/>
              </a:rPr>
              <a:t>story points</a:t>
            </a:r>
          </a:p>
        </xdr:txBody>
      </xdr:sp>
    </xdr:grpSp>
    <xdr:clientData/>
  </xdr:twoCellAnchor>
  <xdr:twoCellAnchor>
    <xdr:from>
      <xdr:col>5</xdr:col>
      <xdr:colOff>2644099</xdr:colOff>
      <xdr:row>3</xdr:row>
      <xdr:rowOff>817464</xdr:rowOff>
    </xdr:from>
    <xdr:to>
      <xdr:col>9</xdr:col>
      <xdr:colOff>769298</xdr:colOff>
      <xdr:row>5</xdr:row>
      <xdr:rowOff>970082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A95A5E7E-778E-6D44-BD07-A988A4C58158}"/>
            </a:ext>
          </a:extLst>
        </xdr:cNvPr>
        <xdr:cNvGrpSpPr/>
      </xdr:nvGrpSpPr>
      <xdr:grpSpPr>
        <a:xfrm>
          <a:off x="12397699" y="3217764"/>
          <a:ext cx="4310099" cy="3848318"/>
          <a:chOff x="12441033" y="3461845"/>
          <a:chExt cx="3993809" cy="4282919"/>
        </a:xfrm>
      </xdr:grpSpPr>
      <xdr:grpSp>
        <xdr:nvGrpSpPr>
          <xdr:cNvPr id="31" name="Group 30">
            <a:extLst>
              <a:ext uri="{FF2B5EF4-FFF2-40B4-BE49-F238E27FC236}">
                <a16:creationId xmlns:a16="http://schemas.microsoft.com/office/drawing/2014/main" id="{B806D202-4637-2249-D9AE-A5E7533A4C21}"/>
              </a:ext>
            </a:extLst>
          </xdr:cNvPr>
          <xdr:cNvGrpSpPr/>
        </xdr:nvGrpSpPr>
        <xdr:grpSpPr>
          <a:xfrm>
            <a:off x="12441033" y="3461845"/>
            <a:ext cx="3993809" cy="4282919"/>
            <a:chOff x="10242572" y="2661895"/>
            <a:chExt cx="3611602" cy="4283186"/>
          </a:xfrm>
        </xdr:grpSpPr>
        <xdr:sp macro="" textlink="'Sprint Summary | data'!R19">
          <xdr:nvSpPr>
            <xdr:cNvPr id="33" name="TextBox 32">
              <a:extLst>
                <a:ext uri="{FF2B5EF4-FFF2-40B4-BE49-F238E27FC236}">
                  <a16:creationId xmlns:a16="http://schemas.microsoft.com/office/drawing/2014/main" id="{BC37F21E-A878-4163-E822-FF357223CFB1}"/>
                </a:ext>
              </a:extLst>
            </xdr:cNvPr>
            <xdr:cNvSpPr txBox="1"/>
          </xdr:nvSpPr>
          <xdr:spPr>
            <a:xfrm>
              <a:off x="11225989" y="3757885"/>
              <a:ext cx="1671908" cy="396544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marL="0" indent="0" algn="ctr"/>
              <a:fld id="{2B9BAC00-E6FC-428B-84D7-74C06E98E0B6}" type="TxLink">
                <a:rPr lang="en-US" sz="4000" b="1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0</a:t>
              </a:fld>
              <a:endParaRPr lang="en-AU" sz="4000" b="1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R20">
          <xdr:nvSpPr>
            <xdr:cNvPr id="34" name="TextBox 33">
              <a:extLst>
                <a:ext uri="{FF2B5EF4-FFF2-40B4-BE49-F238E27FC236}">
                  <a16:creationId xmlns:a16="http://schemas.microsoft.com/office/drawing/2014/main" id="{BFD4F142-A5E2-586E-12F9-38782ECA4157}"/>
                </a:ext>
              </a:extLst>
            </xdr:cNvPr>
            <xdr:cNvSpPr txBox="1"/>
          </xdr:nvSpPr>
          <xdr:spPr>
            <a:xfrm>
              <a:off x="11234026" y="4622055"/>
              <a:ext cx="1667046" cy="427908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marL="0" indent="0" algn="ctr"/>
              <a:fld id="{46E753FA-9C79-4485-8B40-AB131980EF4F}" type="TxLink">
                <a:rPr lang="en-US" sz="4000" b="1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0</a:t>
              </a:fld>
              <a:endParaRPr lang="en-AU" sz="4000" b="1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R21">
          <xdr:nvSpPr>
            <xdr:cNvPr id="35" name="TextBox 34">
              <a:extLst>
                <a:ext uri="{FF2B5EF4-FFF2-40B4-BE49-F238E27FC236}">
                  <a16:creationId xmlns:a16="http://schemas.microsoft.com/office/drawing/2014/main" id="{D5ED0CE5-8580-0173-B7D3-908DFD4E9E69}"/>
                </a:ext>
              </a:extLst>
            </xdr:cNvPr>
            <xdr:cNvSpPr txBox="1"/>
          </xdr:nvSpPr>
          <xdr:spPr>
            <a:xfrm>
              <a:off x="10245603" y="6005457"/>
              <a:ext cx="1205341" cy="375166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marL="0" indent="0" algn="ctr"/>
              <a:fld id="{34F87FA0-3C54-44F7-A70A-946D73CBE210}" type="TxLink">
                <a:rPr lang="en-US" sz="2800" b="0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0</a:t>
              </a:fld>
              <a:endParaRPr lang="en-AU" sz="2800" b="0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R22">
          <xdr:nvSpPr>
            <xdr:cNvPr id="36" name="TextBox 35">
              <a:extLst>
                <a:ext uri="{FF2B5EF4-FFF2-40B4-BE49-F238E27FC236}">
                  <a16:creationId xmlns:a16="http://schemas.microsoft.com/office/drawing/2014/main" id="{CCAD5AFF-95FC-30C3-060F-631794DE21F8}"/>
                </a:ext>
              </a:extLst>
            </xdr:cNvPr>
            <xdr:cNvSpPr txBox="1"/>
          </xdr:nvSpPr>
          <xdr:spPr>
            <a:xfrm>
              <a:off x="11479569" y="6000972"/>
              <a:ext cx="1191902" cy="383254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marL="0" indent="0" algn="ctr"/>
              <a:fld id="{D20803C0-A93E-0E4F-AE2B-AC5D5DF6171C}" type="TxLink">
                <a:rPr lang="en-US" sz="2800" b="0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0</a:t>
              </a:fld>
              <a:endParaRPr lang="en-AU" sz="2800" b="0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R23">
          <xdr:nvSpPr>
            <xdr:cNvPr id="37" name="TextBox 36">
              <a:extLst>
                <a:ext uri="{FF2B5EF4-FFF2-40B4-BE49-F238E27FC236}">
                  <a16:creationId xmlns:a16="http://schemas.microsoft.com/office/drawing/2014/main" id="{7C20523C-4882-A97B-80E4-2154602B6354}"/>
                </a:ext>
              </a:extLst>
            </xdr:cNvPr>
            <xdr:cNvSpPr txBox="1"/>
          </xdr:nvSpPr>
          <xdr:spPr>
            <a:xfrm>
              <a:off x="12670955" y="6020062"/>
              <a:ext cx="1159676" cy="360621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marL="0" indent="0" algn="ctr"/>
              <a:fld id="{D927C692-535C-6746-845B-21D87C83B062}" type="TxLink">
                <a:rPr lang="en-US" sz="2800" b="0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0</a:t>
              </a:fld>
              <a:endParaRPr lang="en-AU" sz="2800" b="0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R18">
          <xdr:nvSpPr>
            <xdr:cNvPr id="38" name="TextBox 37">
              <a:extLst>
                <a:ext uri="{FF2B5EF4-FFF2-40B4-BE49-F238E27FC236}">
                  <a16:creationId xmlns:a16="http://schemas.microsoft.com/office/drawing/2014/main" id="{14C0CCC1-A7FF-C934-797E-B6D66C52F20F}"/>
                </a:ext>
              </a:extLst>
            </xdr:cNvPr>
            <xdr:cNvSpPr txBox="1"/>
          </xdr:nvSpPr>
          <xdr:spPr>
            <a:xfrm>
              <a:off x="12801100" y="3126034"/>
              <a:ext cx="1031820" cy="590234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indent="0" algn="ctr"/>
              <a:fld id="{9D8D4748-9746-4546-93CC-3CC40D102B7C}" type="TxLink">
                <a:rPr lang="en-US" sz="2800" b="0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0</a:t>
              </a:fld>
              <a:endParaRPr lang="en-AU" sz="2800" b="0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S21">
          <xdr:nvSpPr>
            <xdr:cNvPr id="39" name="TextBox 38">
              <a:extLst>
                <a:ext uri="{FF2B5EF4-FFF2-40B4-BE49-F238E27FC236}">
                  <a16:creationId xmlns:a16="http://schemas.microsoft.com/office/drawing/2014/main" id="{14F86150-B16D-BD9B-4CF6-CD9C5A69DA3B}"/>
                </a:ext>
              </a:extLst>
            </xdr:cNvPr>
            <xdr:cNvSpPr txBox="1"/>
          </xdr:nvSpPr>
          <xdr:spPr>
            <a:xfrm>
              <a:off x="10242572" y="6671724"/>
              <a:ext cx="1211691" cy="273357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marL="0" indent="0" algn="ctr"/>
              <a:fld id="{F14B489C-94D5-44E9-8C1B-68EC706568EE}" type="TxLink">
                <a:rPr lang="en-US" sz="18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ea typeface="+mn-ea"/>
                  <a:cs typeface="Calibri"/>
                </a:rPr>
                <a:pPr marL="0" indent="0" algn="ctr"/>
                <a:t>#DIV/0!</a:t>
              </a:fld>
              <a:endParaRPr lang="en-AU" sz="1800" b="1" i="0" u="none" strike="noStrike">
                <a:solidFill>
                  <a:schemeClr val="bg2">
                    <a:lumMod val="75000"/>
                  </a:schemeClr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S23">
          <xdr:nvSpPr>
            <xdr:cNvPr id="40" name="TextBox 39">
              <a:extLst>
                <a:ext uri="{FF2B5EF4-FFF2-40B4-BE49-F238E27FC236}">
                  <a16:creationId xmlns:a16="http://schemas.microsoft.com/office/drawing/2014/main" id="{DA9B9D85-54BD-1A82-215F-73B5D47353EC}"/>
                </a:ext>
              </a:extLst>
            </xdr:cNvPr>
            <xdr:cNvSpPr txBox="1"/>
          </xdr:nvSpPr>
          <xdr:spPr>
            <a:xfrm>
              <a:off x="11481631" y="6664085"/>
              <a:ext cx="1200364" cy="277844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marL="0" indent="0" algn="ctr"/>
              <a:fld id="{B635763B-5289-4CED-BD52-0B73A3BEF409}" type="TxLink">
                <a:rPr lang="en-US" sz="18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ea typeface="+mn-ea"/>
                  <a:cs typeface="Calibri"/>
                </a:rPr>
                <a:pPr marL="0" indent="0" algn="ctr"/>
                <a:t>#DIV/0!</a:t>
              </a:fld>
              <a:endParaRPr lang="en-AU" sz="1800" b="1" i="0" u="none" strike="noStrike">
                <a:solidFill>
                  <a:schemeClr val="bg2">
                    <a:lumMod val="75000"/>
                  </a:schemeClr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#REF!">
          <xdr:nvSpPr>
            <xdr:cNvPr id="41" name="TextBox 40">
              <a:extLst>
                <a:ext uri="{FF2B5EF4-FFF2-40B4-BE49-F238E27FC236}">
                  <a16:creationId xmlns:a16="http://schemas.microsoft.com/office/drawing/2014/main" id="{3BDF57B9-C83A-9CF0-C0AD-88C698CFF710}"/>
                </a:ext>
              </a:extLst>
            </xdr:cNvPr>
            <xdr:cNvSpPr txBox="1"/>
          </xdr:nvSpPr>
          <xdr:spPr>
            <a:xfrm>
              <a:off x="12695521" y="6651149"/>
              <a:ext cx="1158653" cy="287363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marL="0" indent="0" algn="ctr"/>
              <a:fld id="{9BCF5309-F25F-44CB-AA04-9B361EB0D3DF}" type="TxLink">
                <a:rPr lang="en-US" sz="18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ea typeface="+mn-ea"/>
                  <a:cs typeface="Calibri"/>
                </a:rPr>
                <a:pPr marL="0" indent="0" algn="ctr"/>
                <a:t>0</a:t>
              </a:fld>
              <a:endParaRPr lang="en-AU" sz="1800" b="1" i="0" u="none" strike="noStrike">
                <a:solidFill>
                  <a:schemeClr val="bg2">
                    <a:lumMod val="75000"/>
                  </a:schemeClr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S18">
          <xdr:nvSpPr>
            <xdr:cNvPr id="42" name="TextBox 41">
              <a:extLst>
                <a:ext uri="{FF2B5EF4-FFF2-40B4-BE49-F238E27FC236}">
                  <a16:creationId xmlns:a16="http://schemas.microsoft.com/office/drawing/2014/main" id="{4BB61FDF-F76A-A486-6424-9CE6C0911891}"/>
                </a:ext>
              </a:extLst>
            </xdr:cNvPr>
            <xdr:cNvSpPr txBox="1"/>
          </xdr:nvSpPr>
          <xdr:spPr>
            <a:xfrm>
              <a:off x="12805034" y="2661895"/>
              <a:ext cx="1026341" cy="416145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indent="0" algn="ctr"/>
              <a:fld id="{79132F71-E5FC-46B5-8BCF-137586950ED6}" type="TxLink">
                <a:rPr lang="en-US" sz="18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ea typeface="+mn-ea"/>
                  <a:cs typeface="Calibri"/>
                </a:rPr>
                <a:pPr marL="0" indent="0" algn="ctr"/>
                <a:t>#DIV/0!</a:t>
              </a:fld>
              <a:endParaRPr lang="en-AU" sz="1800" b="1" i="0" u="none" strike="noStrike">
                <a:solidFill>
                  <a:schemeClr val="bg2">
                    <a:lumMod val="75000"/>
                  </a:schemeClr>
                </a:solidFill>
                <a:latin typeface="Calibri"/>
                <a:ea typeface="+mn-ea"/>
                <a:cs typeface="Calibri"/>
              </a:endParaRPr>
            </a:p>
          </xdr:txBody>
        </xdr:sp>
        <xdr:grpSp>
          <xdr:nvGrpSpPr>
            <xdr:cNvPr id="43" name="Group 42">
              <a:extLst>
                <a:ext uri="{FF2B5EF4-FFF2-40B4-BE49-F238E27FC236}">
                  <a16:creationId xmlns:a16="http://schemas.microsoft.com/office/drawing/2014/main" id="{A1D2B074-FCF0-5B27-D410-D690AA80EE68}"/>
                </a:ext>
              </a:extLst>
            </xdr:cNvPr>
            <xdr:cNvGrpSpPr/>
          </xdr:nvGrpSpPr>
          <xdr:grpSpPr>
            <a:xfrm>
              <a:off x="11223810" y="4139881"/>
              <a:ext cx="1674087" cy="467008"/>
              <a:chOff x="11060374" y="4133803"/>
              <a:chExt cx="1686398" cy="473358"/>
            </a:xfrm>
          </xdr:grpSpPr>
          <xdr:sp macro="" textlink="">
            <xdr:nvSpPr>
              <xdr:cNvPr id="55" name="Rectangle 54">
                <a:extLst>
                  <a:ext uri="{FF2B5EF4-FFF2-40B4-BE49-F238E27FC236}">
                    <a16:creationId xmlns:a16="http://schemas.microsoft.com/office/drawing/2014/main" id="{9DFCCFF5-9982-7CEA-9AD9-193090433F82}"/>
                  </a:ext>
                </a:extLst>
              </xdr:cNvPr>
              <xdr:cNvSpPr/>
            </xdr:nvSpPr>
            <xdr:spPr>
              <a:xfrm>
                <a:off x="11067156" y="4353856"/>
                <a:ext cx="1679171" cy="39369"/>
              </a:xfrm>
              <a:prstGeom prst="rect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AU" sz="1100"/>
              </a:p>
            </xdr:txBody>
          </xdr:sp>
          <xdr:sp macro="" textlink="">
            <xdr:nvSpPr>
              <xdr:cNvPr id="56" name="TextBox 55">
                <a:extLst>
                  <a:ext uri="{FF2B5EF4-FFF2-40B4-BE49-F238E27FC236}">
                    <a16:creationId xmlns:a16="http://schemas.microsoft.com/office/drawing/2014/main" id="{71BC7151-D432-F7A1-8D25-F8E1E1BF5C84}"/>
                  </a:ext>
                </a:extLst>
              </xdr:cNvPr>
              <xdr:cNvSpPr txBox="1"/>
            </xdr:nvSpPr>
            <xdr:spPr>
              <a:xfrm>
                <a:off x="11060374" y="4133803"/>
                <a:ext cx="1686398" cy="21608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AU" sz="1000">
                    <a:solidFill>
                      <a:schemeClr val="bg2">
                        <a:lumMod val="75000"/>
                      </a:schemeClr>
                    </a:solidFill>
                  </a:rPr>
                  <a:t>completed</a:t>
                </a:r>
              </a:p>
            </xdr:txBody>
          </xdr:sp>
          <xdr:sp macro="" textlink="">
            <xdr:nvSpPr>
              <xdr:cNvPr id="57" name="TextBox 56">
                <a:extLst>
                  <a:ext uri="{FF2B5EF4-FFF2-40B4-BE49-F238E27FC236}">
                    <a16:creationId xmlns:a16="http://schemas.microsoft.com/office/drawing/2014/main" id="{C99DCF01-0570-C422-D8B7-B518ACC4F94C}"/>
                  </a:ext>
                </a:extLst>
              </xdr:cNvPr>
              <xdr:cNvSpPr txBox="1"/>
            </xdr:nvSpPr>
            <xdr:spPr>
              <a:xfrm>
                <a:off x="11068096" y="4397422"/>
                <a:ext cx="1676872" cy="20973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AU" sz="1000">
                    <a:solidFill>
                      <a:schemeClr val="bg2">
                        <a:lumMod val="75000"/>
                      </a:schemeClr>
                    </a:solidFill>
                  </a:rPr>
                  <a:t>planned</a:t>
                </a:r>
              </a:p>
            </xdr:txBody>
          </xdr:sp>
        </xdr:grpSp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C409CFA1-DE17-1356-6B7C-06FE80D2FB4F}"/>
                </a:ext>
              </a:extLst>
            </xdr:cNvPr>
            <xdr:cNvSpPr txBox="1"/>
          </xdr:nvSpPr>
          <xdr:spPr>
            <a:xfrm>
              <a:off x="10406611" y="6268489"/>
              <a:ext cx="866442" cy="49481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000">
                  <a:solidFill>
                    <a:schemeClr val="bg2">
                      <a:lumMod val="75000"/>
                    </a:schemeClr>
                  </a:solidFill>
                </a:rPr>
                <a:t>committed at start of sprint</a:t>
              </a:r>
            </a:p>
          </xdr:txBody>
        </xdr:sp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770C4607-939C-FC5B-3A37-D5A591928C97}"/>
                </a:ext>
              </a:extLst>
            </xdr:cNvPr>
            <xdr:cNvSpPr txBox="1"/>
          </xdr:nvSpPr>
          <xdr:spPr>
            <a:xfrm>
              <a:off x="11613139" y="6273682"/>
              <a:ext cx="877549" cy="49060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000">
                  <a:solidFill>
                    <a:schemeClr val="bg2">
                      <a:lumMod val="75000"/>
                    </a:schemeClr>
                  </a:solidFill>
                </a:rPr>
                <a:t>added after sprint start</a:t>
              </a:r>
            </a:p>
          </xdr:txBody>
        </xdr:sp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5BC1C947-A9CD-E37B-E000-ACEF46E2D988}"/>
                </a:ext>
              </a:extLst>
            </xdr:cNvPr>
            <xdr:cNvSpPr txBox="1"/>
          </xdr:nvSpPr>
          <xdr:spPr>
            <a:xfrm>
              <a:off x="12811946" y="6282235"/>
              <a:ext cx="873853" cy="48402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000">
                  <a:solidFill>
                    <a:schemeClr val="bg2">
                      <a:lumMod val="75000"/>
                    </a:schemeClr>
                  </a:solidFill>
                </a:rPr>
                <a:t>removed</a:t>
              </a:r>
              <a:br>
                <a:rPr lang="en-AU" sz="1000">
                  <a:solidFill>
                    <a:schemeClr val="bg2">
                      <a:lumMod val="75000"/>
                    </a:schemeClr>
                  </a:solidFill>
                </a:rPr>
              </a:br>
              <a:r>
                <a:rPr lang="en-AU" sz="1000">
                  <a:solidFill>
                    <a:schemeClr val="bg2">
                      <a:lumMod val="75000"/>
                    </a:schemeClr>
                  </a:solidFill>
                </a:rPr>
                <a:t>from sprint</a:t>
              </a:r>
            </a:p>
          </xdr:txBody>
        </xdr:sp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0627A781-3C44-CC6B-5A33-B00ABAF1BD54}"/>
                </a:ext>
              </a:extLst>
            </xdr:cNvPr>
            <xdr:cNvSpPr txBox="1"/>
          </xdr:nvSpPr>
          <xdr:spPr>
            <a:xfrm>
              <a:off x="12812927" y="2995868"/>
              <a:ext cx="1018449" cy="20063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000">
                  <a:solidFill>
                    <a:schemeClr val="bg2">
                      <a:lumMod val="75000"/>
                    </a:schemeClr>
                  </a:solidFill>
                </a:rPr>
                <a:t>no completed</a:t>
              </a:r>
            </a:p>
          </xdr:txBody>
        </xdr:sp>
        <xdr:cxnSp macro="">
          <xdr:nvCxnSpPr>
            <xdr:cNvPr id="48" name="Connector: Curved 90">
              <a:extLst>
                <a:ext uri="{FF2B5EF4-FFF2-40B4-BE49-F238E27FC236}">
                  <a16:creationId xmlns:a16="http://schemas.microsoft.com/office/drawing/2014/main" id="{5902EE5E-23D0-84D3-1595-EB0A1A71F06F}"/>
                </a:ext>
              </a:extLst>
            </xdr:cNvPr>
            <xdr:cNvCxnSpPr>
              <a:stCxn id="35" idx="0"/>
              <a:endCxn id="34" idx="2"/>
            </xdr:cNvCxnSpPr>
          </xdr:nvCxnSpPr>
          <xdr:spPr>
            <a:xfrm rot="5400000" flipH="1" flipV="1">
              <a:off x="10980164" y="4918073"/>
              <a:ext cx="955494" cy="1219276"/>
            </a:xfrm>
            <a:prstGeom prst="curvedConnector3">
              <a:avLst>
                <a:gd name="adj1" fmla="val 50000"/>
              </a:avLst>
            </a:prstGeom>
            <a:ln>
              <a:tailEnd type="non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9" name="Connector: Curved 93">
              <a:extLst>
                <a:ext uri="{FF2B5EF4-FFF2-40B4-BE49-F238E27FC236}">
                  <a16:creationId xmlns:a16="http://schemas.microsoft.com/office/drawing/2014/main" id="{157A46ED-DE24-2F7B-60DB-1D4AEE76554F}"/>
                </a:ext>
              </a:extLst>
            </xdr:cNvPr>
            <xdr:cNvCxnSpPr>
              <a:stCxn id="36" idx="0"/>
              <a:endCxn id="34" idx="2"/>
            </xdr:cNvCxnSpPr>
          </xdr:nvCxnSpPr>
          <xdr:spPr>
            <a:xfrm rot="16200000" flipV="1">
              <a:off x="11596031" y="5521482"/>
              <a:ext cx="951009" cy="7971"/>
            </a:xfrm>
            <a:prstGeom prst="curvedConnector3">
              <a:avLst>
                <a:gd name="adj1" fmla="val 50000"/>
              </a:avLst>
            </a:prstGeom>
            <a:ln>
              <a:tailEnd type="triangle" w="lg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0" name="Connector: Curved 95">
              <a:extLst>
                <a:ext uri="{FF2B5EF4-FFF2-40B4-BE49-F238E27FC236}">
                  <a16:creationId xmlns:a16="http://schemas.microsoft.com/office/drawing/2014/main" id="{7BEA6CB5-DC21-AE81-ED1D-06197CEAC92D}"/>
                </a:ext>
              </a:extLst>
            </xdr:cNvPr>
            <xdr:cNvCxnSpPr>
              <a:stCxn id="34" idx="2"/>
              <a:endCxn id="37" idx="0"/>
            </xdr:cNvCxnSpPr>
          </xdr:nvCxnSpPr>
          <xdr:spPr>
            <a:xfrm rot="16200000" flipH="1">
              <a:off x="12174122" y="4943390"/>
              <a:ext cx="970099" cy="1183244"/>
            </a:xfrm>
            <a:prstGeom prst="curvedConnector3">
              <a:avLst>
                <a:gd name="adj1" fmla="val 50000"/>
              </a:avLst>
            </a:prstGeom>
            <a:ln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3B0C8B7C-89FF-F3E7-C768-A045C906DC4F}"/>
                </a:ext>
              </a:extLst>
            </xdr:cNvPr>
            <xdr:cNvSpPr txBox="1"/>
          </xdr:nvSpPr>
          <xdr:spPr>
            <a:xfrm>
              <a:off x="11211647" y="5399478"/>
              <a:ext cx="229751" cy="213113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400"/>
                <a:t>+</a:t>
              </a:r>
            </a:p>
          </xdr:txBody>
        </xdr:sp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2515F59A-5FF6-0F8C-8DCB-1D5987D58491}"/>
                </a:ext>
              </a:extLst>
            </xdr:cNvPr>
            <xdr:cNvSpPr txBox="1"/>
          </xdr:nvSpPr>
          <xdr:spPr>
            <a:xfrm>
              <a:off x="11952058" y="5500341"/>
              <a:ext cx="232926" cy="213113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400"/>
                <a:t>+</a:t>
              </a:r>
            </a:p>
          </xdr:txBody>
        </xdr:sp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2DA63226-0A20-2868-38D6-AF2C09880A02}"/>
                </a:ext>
              </a:extLst>
            </xdr:cNvPr>
            <xdr:cNvSpPr txBox="1"/>
          </xdr:nvSpPr>
          <xdr:spPr>
            <a:xfrm>
              <a:off x="12593467" y="5410972"/>
              <a:ext cx="239276" cy="213113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400"/>
                <a:t>-</a:t>
              </a:r>
            </a:p>
          </xdr:txBody>
        </xdr:sp>
        <xdr:cxnSp macro="">
          <xdr:nvCxnSpPr>
            <xdr:cNvPr id="54" name="Connector: Curved 107">
              <a:extLst>
                <a:ext uri="{FF2B5EF4-FFF2-40B4-BE49-F238E27FC236}">
                  <a16:creationId xmlns:a16="http://schemas.microsoft.com/office/drawing/2014/main" id="{74C8FEC6-92B6-15B5-D6F5-67CBD485F2BF}"/>
                </a:ext>
              </a:extLst>
            </xdr:cNvPr>
            <xdr:cNvCxnSpPr>
              <a:stCxn id="55" idx="3"/>
              <a:endCxn id="38" idx="2"/>
            </xdr:cNvCxnSpPr>
          </xdr:nvCxnSpPr>
          <xdr:spPr>
            <a:xfrm flipV="1">
              <a:off x="12897455" y="3716268"/>
              <a:ext cx="419555" cy="660134"/>
            </a:xfrm>
            <a:prstGeom prst="curvedConnector2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'Sprint Summary | data'!S19">
        <xdr:nvSpPr>
          <xdr:cNvPr id="32" name="TextBox 31">
            <a:extLst>
              <a:ext uri="{FF2B5EF4-FFF2-40B4-BE49-F238E27FC236}">
                <a16:creationId xmlns:a16="http://schemas.microsoft.com/office/drawing/2014/main" id="{672CB3DB-3E49-6729-BDAD-A31C319D5824}"/>
              </a:ext>
            </a:extLst>
          </xdr:cNvPr>
          <xdr:cNvSpPr txBox="1"/>
        </xdr:nvSpPr>
        <xdr:spPr>
          <a:xfrm>
            <a:off x="13517790" y="3929743"/>
            <a:ext cx="1846036" cy="41611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indent="0" algn="ctr"/>
            <a:fld id="{95357BFC-1E16-4EC4-A8FC-20AD5EA6F15F}" type="TxLink">
              <a:rPr lang="en-US" sz="1800" b="0" i="0" u="none" strike="noStrike">
                <a:solidFill>
                  <a:schemeClr val="bg2">
                    <a:lumMod val="75000"/>
                  </a:schemeClr>
                </a:solidFill>
                <a:latin typeface="Calibri"/>
                <a:ea typeface="+mn-ea"/>
                <a:cs typeface="Calibri"/>
              </a:rPr>
              <a:pPr marL="0" indent="0" algn="ctr"/>
              <a:t>#DIV/0!</a:t>
            </a:fld>
            <a:endParaRPr lang="en-AU" sz="1800" b="0" i="0" u="none" strike="noStrike">
              <a:solidFill>
                <a:schemeClr val="bg2">
                  <a:lumMod val="75000"/>
                </a:schemeClr>
              </a:solidFill>
              <a:latin typeface="Calibri"/>
              <a:ea typeface="+mn-ea"/>
              <a:cs typeface="Calibri"/>
            </a:endParaRPr>
          </a:p>
        </xdr:txBody>
      </xdr:sp>
    </xdr:grpSp>
    <xdr:clientData/>
  </xdr:twoCellAnchor>
  <xdr:twoCellAnchor>
    <xdr:from>
      <xdr:col>10</xdr:col>
      <xdr:colOff>199407</xdr:colOff>
      <xdr:row>3</xdr:row>
      <xdr:rowOff>802572</xdr:rowOff>
    </xdr:from>
    <xdr:to>
      <xdr:col>12</xdr:col>
      <xdr:colOff>2363890</xdr:colOff>
      <xdr:row>5</xdr:row>
      <xdr:rowOff>1039182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2E3678E9-5F8C-4543-9D9D-BAFF19BD4800}"/>
            </a:ext>
          </a:extLst>
        </xdr:cNvPr>
        <xdr:cNvGrpSpPr/>
      </xdr:nvGrpSpPr>
      <xdr:grpSpPr>
        <a:xfrm>
          <a:off x="16912607" y="3202872"/>
          <a:ext cx="3726583" cy="3932310"/>
          <a:chOff x="16776161" y="3461534"/>
          <a:chExt cx="3598348" cy="4370066"/>
        </a:xfrm>
      </xdr:grpSpPr>
      <xdr:grpSp>
        <xdr:nvGrpSpPr>
          <xdr:cNvPr id="59" name="Group 58">
            <a:extLst>
              <a:ext uri="{FF2B5EF4-FFF2-40B4-BE49-F238E27FC236}">
                <a16:creationId xmlns:a16="http://schemas.microsoft.com/office/drawing/2014/main" id="{233334E0-47F4-7C1D-0A9A-85688AD6EFAF}"/>
              </a:ext>
            </a:extLst>
          </xdr:cNvPr>
          <xdr:cNvGrpSpPr/>
        </xdr:nvGrpSpPr>
        <xdr:grpSpPr>
          <a:xfrm>
            <a:off x="16776161" y="3461534"/>
            <a:ext cx="3598348" cy="4370066"/>
            <a:chOff x="14011982" y="2671109"/>
            <a:chExt cx="3612222" cy="4367129"/>
          </a:xfrm>
        </xdr:grpSpPr>
        <xdr:sp macro="" textlink="'Sprint Summary | data'!T19">
          <xdr:nvSpPr>
            <xdr:cNvPr id="61" name="TextBox 60">
              <a:extLst>
                <a:ext uri="{FF2B5EF4-FFF2-40B4-BE49-F238E27FC236}">
                  <a16:creationId xmlns:a16="http://schemas.microsoft.com/office/drawing/2014/main" id="{AD1E6089-F487-EF0C-74E9-CA21E89F950C}"/>
                </a:ext>
              </a:extLst>
            </xdr:cNvPr>
            <xdr:cNvSpPr txBox="1"/>
          </xdr:nvSpPr>
          <xdr:spPr>
            <a:xfrm>
              <a:off x="15002196" y="3763239"/>
              <a:ext cx="1667483" cy="399427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marL="0" indent="0" algn="ctr"/>
              <a:fld id="{3DAEFD09-2E3D-46C1-BF9B-83421A803741}" type="TxLink">
                <a:rPr lang="en-US" sz="4000" b="1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0</a:t>
              </a:fld>
              <a:endParaRPr lang="en-AU" sz="4000" b="1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T20">
          <xdr:nvSpPr>
            <xdr:cNvPr id="62" name="TextBox 61">
              <a:extLst>
                <a:ext uri="{FF2B5EF4-FFF2-40B4-BE49-F238E27FC236}">
                  <a16:creationId xmlns:a16="http://schemas.microsoft.com/office/drawing/2014/main" id="{C0AC088E-7B62-7966-866D-098F81655FD7}"/>
                </a:ext>
              </a:extLst>
            </xdr:cNvPr>
            <xdr:cNvSpPr txBox="1"/>
          </xdr:nvSpPr>
          <xdr:spPr>
            <a:xfrm>
              <a:off x="15013387" y="4620422"/>
              <a:ext cx="1656284" cy="463485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marL="0" indent="0" algn="ctr"/>
              <a:fld id="{B03FC1F3-7D31-413B-B04C-39439B060B24}" type="TxLink">
                <a:rPr lang="en-US" sz="4000" b="1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0</a:t>
              </a:fld>
              <a:endParaRPr lang="en-AU" sz="4000" b="1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T21">
          <xdr:nvSpPr>
            <xdr:cNvPr id="63" name="TextBox 62">
              <a:extLst>
                <a:ext uri="{FF2B5EF4-FFF2-40B4-BE49-F238E27FC236}">
                  <a16:creationId xmlns:a16="http://schemas.microsoft.com/office/drawing/2014/main" id="{0D84227D-AF2D-0FBB-6AE1-1F7FF916045B}"/>
                </a:ext>
              </a:extLst>
            </xdr:cNvPr>
            <xdr:cNvSpPr txBox="1"/>
          </xdr:nvSpPr>
          <xdr:spPr>
            <a:xfrm>
              <a:off x="14015005" y="5909304"/>
              <a:ext cx="1211676" cy="588956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indent="0" algn="ctr"/>
              <a:fld id="{1330039E-B881-47E2-8367-193E0BFD7874}" type="TxLink">
                <a:rPr lang="en-US" sz="2800" b="0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0</a:t>
              </a:fld>
              <a:endParaRPr lang="en-AU" sz="2800" b="0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T22">
          <xdr:nvSpPr>
            <xdr:cNvPr id="64" name="TextBox 63">
              <a:extLst>
                <a:ext uri="{FF2B5EF4-FFF2-40B4-BE49-F238E27FC236}">
                  <a16:creationId xmlns:a16="http://schemas.microsoft.com/office/drawing/2014/main" id="{43C60997-8183-677F-B643-F9BB3EBCCB49}"/>
                </a:ext>
              </a:extLst>
            </xdr:cNvPr>
            <xdr:cNvSpPr txBox="1"/>
          </xdr:nvSpPr>
          <xdr:spPr>
            <a:xfrm>
              <a:off x="15245705" y="5923873"/>
              <a:ext cx="1198273" cy="588702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indent="0" algn="ctr"/>
              <a:fld id="{329C7112-1040-D14A-BA44-E45B2BB4AFDD}" type="TxLink">
                <a:rPr lang="en-US" sz="2800" b="0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0</a:t>
              </a:fld>
              <a:endParaRPr lang="en-AU" sz="2800" b="0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T23">
          <xdr:nvSpPr>
            <xdr:cNvPr id="65" name="TextBox 64">
              <a:extLst>
                <a:ext uri="{FF2B5EF4-FFF2-40B4-BE49-F238E27FC236}">
                  <a16:creationId xmlns:a16="http://schemas.microsoft.com/office/drawing/2014/main" id="{47AC8ABB-C066-CE5A-425A-0983CC193D9A}"/>
                </a:ext>
              </a:extLst>
            </xdr:cNvPr>
            <xdr:cNvSpPr txBox="1"/>
          </xdr:nvSpPr>
          <xdr:spPr>
            <a:xfrm>
              <a:off x="16440288" y="5917930"/>
              <a:ext cx="1156607" cy="588702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indent="0" algn="ctr"/>
              <a:fld id="{6758FAC0-9153-8846-9EB5-694813C3E9F9}" type="TxLink">
                <a:rPr lang="en-US" sz="2800" b="0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0</a:t>
              </a:fld>
              <a:endParaRPr lang="en-AU" sz="2800" b="0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T18">
          <xdr:nvSpPr>
            <xdr:cNvPr id="66" name="TextBox 65">
              <a:extLst>
                <a:ext uri="{FF2B5EF4-FFF2-40B4-BE49-F238E27FC236}">
                  <a16:creationId xmlns:a16="http://schemas.microsoft.com/office/drawing/2014/main" id="{7135C36D-B8E4-FEA1-143C-EB6C7450CB67}"/>
                </a:ext>
              </a:extLst>
            </xdr:cNvPr>
            <xdr:cNvSpPr txBox="1"/>
          </xdr:nvSpPr>
          <xdr:spPr>
            <a:xfrm>
              <a:off x="16595115" y="3135248"/>
              <a:ext cx="1029089" cy="588956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indent="0" algn="ctr"/>
              <a:fld id="{FA7713C0-E3D3-4482-8807-A28C5B292BE7}" type="TxLink">
                <a:rPr lang="en-US" sz="2800" b="0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0</a:t>
              </a:fld>
              <a:endParaRPr lang="en-AU" sz="2800" b="0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U21">
          <xdr:nvSpPr>
            <xdr:cNvPr id="67" name="TextBox 66">
              <a:extLst>
                <a:ext uri="{FF2B5EF4-FFF2-40B4-BE49-F238E27FC236}">
                  <a16:creationId xmlns:a16="http://schemas.microsoft.com/office/drawing/2014/main" id="{EB04A326-762A-8F52-96BB-3F0443C370E8}"/>
                </a:ext>
              </a:extLst>
            </xdr:cNvPr>
            <xdr:cNvSpPr txBox="1"/>
          </xdr:nvSpPr>
          <xdr:spPr>
            <a:xfrm>
              <a:off x="14011982" y="6622075"/>
              <a:ext cx="1205309" cy="415244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indent="0" algn="ctr"/>
              <a:fld id="{E64CB1AF-34CE-42C2-98CC-9B324952E164}" type="TxLink">
                <a:rPr lang="en-US" sz="18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ea typeface="+mn-ea"/>
                  <a:cs typeface="Calibri"/>
                </a:rPr>
                <a:pPr marL="0" indent="0" algn="ctr"/>
                <a:t>#DIV/0!</a:t>
              </a:fld>
              <a:endParaRPr lang="en-AU" sz="1800" b="0" i="0" u="none" strike="noStrike">
                <a:solidFill>
                  <a:schemeClr val="bg2">
                    <a:lumMod val="75000"/>
                  </a:schemeClr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U23">
          <xdr:nvSpPr>
            <xdr:cNvPr id="68" name="TextBox 67">
              <a:extLst>
                <a:ext uri="{FF2B5EF4-FFF2-40B4-BE49-F238E27FC236}">
                  <a16:creationId xmlns:a16="http://schemas.microsoft.com/office/drawing/2014/main" id="{4DCB241E-01ED-E0EA-87E4-FA608CCF9BD9}"/>
                </a:ext>
              </a:extLst>
            </xdr:cNvPr>
            <xdr:cNvSpPr txBox="1"/>
          </xdr:nvSpPr>
          <xdr:spPr>
            <a:xfrm>
              <a:off x="15245874" y="6614203"/>
              <a:ext cx="1188731" cy="415244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indent="0" algn="ctr"/>
              <a:fld id="{60994E2B-485B-44AA-8226-6FB46995DEFB}" type="TxLink">
                <a:rPr lang="en-US" sz="18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ea typeface="+mn-ea"/>
                  <a:cs typeface="Calibri"/>
                </a:rPr>
                <a:pPr marL="0" indent="0" algn="ctr"/>
                <a:t>#DIV/0!</a:t>
              </a:fld>
              <a:endParaRPr lang="en-AU" sz="1800" b="0" i="0" u="none" strike="noStrike">
                <a:solidFill>
                  <a:schemeClr val="bg2">
                    <a:lumMod val="75000"/>
                  </a:schemeClr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#REF!">
          <xdr:nvSpPr>
            <xdr:cNvPr id="69" name="TextBox 68">
              <a:extLst>
                <a:ext uri="{FF2B5EF4-FFF2-40B4-BE49-F238E27FC236}">
                  <a16:creationId xmlns:a16="http://schemas.microsoft.com/office/drawing/2014/main" id="{7FE59029-4781-EA67-5682-EE84A0C853E6}"/>
                </a:ext>
              </a:extLst>
            </xdr:cNvPr>
            <xdr:cNvSpPr txBox="1"/>
          </xdr:nvSpPr>
          <xdr:spPr>
            <a:xfrm>
              <a:off x="16457690" y="6622994"/>
              <a:ext cx="1143907" cy="415244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indent="0" algn="ctr"/>
              <a:fld id="{442E9114-807C-4528-96FE-2674012CDE39}" type="TxLink">
                <a:rPr lang="en-US" sz="18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ea typeface="+mn-ea"/>
                  <a:cs typeface="Calibri"/>
                </a:rPr>
                <a:pPr marL="0" indent="0" algn="ctr"/>
                <a:t>0</a:t>
              </a:fld>
              <a:endParaRPr lang="en-AU" sz="1800" b="0" i="0" u="none" strike="noStrike">
                <a:solidFill>
                  <a:schemeClr val="bg2">
                    <a:lumMod val="75000"/>
                  </a:schemeClr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U18">
          <xdr:nvSpPr>
            <xdr:cNvPr id="70" name="TextBox 69">
              <a:extLst>
                <a:ext uri="{FF2B5EF4-FFF2-40B4-BE49-F238E27FC236}">
                  <a16:creationId xmlns:a16="http://schemas.microsoft.com/office/drawing/2014/main" id="{CB8FF3E7-429E-E035-3D9B-2962CC6AABC7}"/>
                </a:ext>
              </a:extLst>
            </xdr:cNvPr>
            <xdr:cNvSpPr txBox="1"/>
          </xdr:nvSpPr>
          <xdr:spPr>
            <a:xfrm>
              <a:off x="16592689" y="2671109"/>
              <a:ext cx="1029975" cy="415244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indent="0" algn="ctr"/>
              <a:fld id="{7EA71C29-20B0-42DA-A65B-C284B3CFB61C}" type="TxLink">
                <a:rPr lang="en-US" sz="18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ea typeface="+mn-ea"/>
                  <a:cs typeface="Calibri"/>
                </a:rPr>
                <a:pPr marL="0" indent="0" algn="ctr"/>
                <a:t>#DIV/0!</a:t>
              </a:fld>
              <a:endParaRPr lang="en-AU" sz="1800" b="0" i="0" u="none" strike="noStrike">
                <a:solidFill>
                  <a:schemeClr val="bg2">
                    <a:lumMod val="75000"/>
                  </a:schemeClr>
                </a:solidFill>
                <a:latin typeface="Calibri"/>
                <a:ea typeface="+mn-ea"/>
                <a:cs typeface="Calibri"/>
              </a:endParaRPr>
            </a:p>
          </xdr:txBody>
        </xdr:sp>
        <xdr:grpSp>
          <xdr:nvGrpSpPr>
            <xdr:cNvPr id="71" name="Group 70">
              <a:extLst>
                <a:ext uri="{FF2B5EF4-FFF2-40B4-BE49-F238E27FC236}">
                  <a16:creationId xmlns:a16="http://schemas.microsoft.com/office/drawing/2014/main" id="{77E48729-0EA5-F225-568F-B3AD3C771246}"/>
                </a:ext>
              </a:extLst>
            </xdr:cNvPr>
            <xdr:cNvGrpSpPr/>
          </xdr:nvGrpSpPr>
          <xdr:grpSpPr>
            <a:xfrm>
              <a:off x="14993673" y="4144953"/>
              <a:ext cx="1679182" cy="469839"/>
              <a:chOff x="11060374" y="4133803"/>
              <a:chExt cx="1686398" cy="473358"/>
            </a:xfrm>
          </xdr:grpSpPr>
          <xdr:sp macro="" textlink="">
            <xdr:nvSpPr>
              <xdr:cNvPr id="83" name="Rectangle 82">
                <a:extLst>
                  <a:ext uri="{FF2B5EF4-FFF2-40B4-BE49-F238E27FC236}">
                    <a16:creationId xmlns:a16="http://schemas.microsoft.com/office/drawing/2014/main" id="{26133890-5292-596F-DAF1-A03A5F89BD10}"/>
                  </a:ext>
                </a:extLst>
              </xdr:cNvPr>
              <xdr:cNvSpPr/>
            </xdr:nvSpPr>
            <xdr:spPr>
              <a:xfrm>
                <a:off x="11067156" y="4353856"/>
                <a:ext cx="1679171" cy="39369"/>
              </a:xfrm>
              <a:prstGeom prst="rect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AU" sz="1100"/>
              </a:p>
            </xdr:txBody>
          </xdr:sp>
          <xdr:sp macro="" textlink="">
            <xdr:nvSpPr>
              <xdr:cNvPr id="84" name="TextBox 83">
                <a:extLst>
                  <a:ext uri="{FF2B5EF4-FFF2-40B4-BE49-F238E27FC236}">
                    <a16:creationId xmlns:a16="http://schemas.microsoft.com/office/drawing/2014/main" id="{32FE2303-3E95-DE77-B4B3-76B233316E6F}"/>
                  </a:ext>
                </a:extLst>
              </xdr:cNvPr>
              <xdr:cNvSpPr txBox="1"/>
            </xdr:nvSpPr>
            <xdr:spPr>
              <a:xfrm>
                <a:off x="11060374" y="4133803"/>
                <a:ext cx="1686398" cy="21608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AU" sz="1000">
                    <a:solidFill>
                      <a:schemeClr val="bg2">
                        <a:lumMod val="75000"/>
                      </a:schemeClr>
                    </a:solidFill>
                  </a:rPr>
                  <a:t>completed</a:t>
                </a:r>
              </a:p>
            </xdr:txBody>
          </xdr:sp>
          <xdr:sp macro="" textlink="">
            <xdr:nvSpPr>
              <xdr:cNvPr id="85" name="TextBox 84">
                <a:extLst>
                  <a:ext uri="{FF2B5EF4-FFF2-40B4-BE49-F238E27FC236}">
                    <a16:creationId xmlns:a16="http://schemas.microsoft.com/office/drawing/2014/main" id="{826155D8-C0B0-82CA-995E-91ABB78CD0B0}"/>
                  </a:ext>
                </a:extLst>
              </xdr:cNvPr>
              <xdr:cNvSpPr txBox="1"/>
            </xdr:nvSpPr>
            <xdr:spPr>
              <a:xfrm>
                <a:off x="11068096" y="4397422"/>
                <a:ext cx="1676872" cy="20973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AU" sz="1000">
                    <a:solidFill>
                      <a:schemeClr val="bg2">
                        <a:lumMod val="75000"/>
                      </a:schemeClr>
                    </a:solidFill>
                  </a:rPr>
                  <a:t>planned</a:t>
                </a:r>
              </a:p>
            </xdr:txBody>
          </xdr:sp>
        </xdr:grpSp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BB10755A-160C-E19E-E0B8-1621910EC8E6}"/>
                </a:ext>
              </a:extLst>
            </xdr:cNvPr>
            <xdr:cNvSpPr txBox="1"/>
          </xdr:nvSpPr>
          <xdr:spPr>
            <a:xfrm>
              <a:off x="14111670" y="6275895"/>
              <a:ext cx="956561" cy="46374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000">
                  <a:solidFill>
                    <a:schemeClr val="bg2">
                      <a:lumMod val="75000"/>
                    </a:schemeClr>
                  </a:solidFill>
                </a:rPr>
                <a:t>committed at start of sprint</a:t>
              </a:r>
            </a:p>
          </xdr:txBody>
        </xdr:sp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103BBC85-1B70-C319-5810-331F9F5A94C2}"/>
                </a:ext>
              </a:extLst>
            </xdr:cNvPr>
            <xdr:cNvSpPr txBox="1"/>
          </xdr:nvSpPr>
          <xdr:spPr>
            <a:xfrm>
              <a:off x="15407416" y="6272895"/>
              <a:ext cx="872052" cy="46773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000">
                  <a:solidFill>
                    <a:schemeClr val="bg2">
                      <a:lumMod val="75000"/>
                    </a:schemeClr>
                  </a:solidFill>
                </a:rPr>
                <a:t>added after sprint start</a:t>
              </a:r>
            </a:p>
          </xdr:txBody>
        </xdr:sp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AF1C124A-089E-E9FD-8FA8-1D099613D0EC}"/>
                </a:ext>
              </a:extLst>
            </xdr:cNvPr>
            <xdr:cNvSpPr txBox="1"/>
          </xdr:nvSpPr>
          <xdr:spPr>
            <a:xfrm>
              <a:off x="16599875" y="6285067"/>
              <a:ext cx="877890" cy="4575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000">
                  <a:solidFill>
                    <a:schemeClr val="bg2">
                      <a:lumMod val="75000"/>
                    </a:schemeClr>
                  </a:solidFill>
                </a:rPr>
                <a:t>removed</a:t>
              </a:r>
              <a:br>
                <a:rPr lang="en-AU" sz="1000">
                  <a:solidFill>
                    <a:schemeClr val="bg2">
                      <a:lumMod val="75000"/>
                    </a:schemeClr>
                  </a:solidFill>
                </a:rPr>
              </a:br>
              <a:r>
                <a:rPr lang="en-AU" sz="1000">
                  <a:solidFill>
                    <a:schemeClr val="bg2">
                      <a:lumMod val="75000"/>
                    </a:schemeClr>
                  </a:solidFill>
                </a:rPr>
                <a:t>from sprint</a:t>
              </a:r>
            </a:p>
          </xdr:txBody>
        </xdr:sp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6CAD5414-C831-425F-B50A-661A0694F028}"/>
                </a:ext>
              </a:extLst>
            </xdr:cNvPr>
            <xdr:cNvSpPr txBox="1"/>
          </xdr:nvSpPr>
          <xdr:spPr>
            <a:xfrm>
              <a:off x="16594211" y="3011184"/>
              <a:ext cx="1018929" cy="19413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000">
                  <a:solidFill>
                    <a:schemeClr val="bg2">
                      <a:lumMod val="75000"/>
                    </a:schemeClr>
                  </a:solidFill>
                </a:rPr>
                <a:t>no completed</a:t>
              </a:r>
            </a:p>
          </xdr:txBody>
        </xdr:sp>
        <xdr:cxnSp macro="">
          <xdr:nvCxnSpPr>
            <xdr:cNvPr id="76" name="Connector: Curved 132">
              <a:extLst>
                <a:ext uri="{FF2B5EF4-FFF2-40B4-BE49-F238E27FC236}">
                  <a16:creationId xmlns:a16="http://schemas.microsoft.com/office/drawing/2014/main" id="{B6E7567D-24E7-5180-4D67-921568107246}"/>
                </a:ext>
              </a:extLst>
            </xdr:cNvPr>
            <xdr:cNvCxnSpPr>
              <a:stCxn id="63" idx="0"/>
              <a:endCxn id="62" idx="2"/>
            </xdr:cNvCxnSpPr>
          </xdr:nvCxnSpPr>
          <xdr:spPr>
            <a:xfrm rot="5400000" flipH="1" flipV="1">
              <a:off x="14818488" y="4886264"/>
              <a:ext cx="825396" cy="1220686"/>
            </a:xfrm>
            <a:prstGeom prst="curvedConnector3">
              <a:avLst>
                <a:gd name="adj1" fmla="val 50000"/>
              </a:avLst>
            </a:prstGeom>
            <a:ln>
              <a:tailEnd type="none" w="lg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7" name="Connector: Curved 133">
              <a:extLst>
                <a:ext uri="{FF2B5EF4-FFF2-40B4-BE49-F238E27FC236}">
                  <a16:creationId xmlns:a16="http://schemas.microsoft.com/office/drawing/2014/main" id="{E80409FC-5F6F-AED4-30B7-34C84509A395}"/>
                </a:ext>
              </a:extLst>
            </xdr:cNvPr>
            <xdr:cNvCxnSpPr>
              <a:stCxn id="64" idx="0"/>
              <a:endCxn id="62" idx="2"/>
            </xdr:cNvCxnSpPr>
          </xdr:nvCxnSpPr>
          <xdr:spPr>
            <a:xfrm rot="16200000" flipV="1">
              <a:off x="15423203" y="5502234"/>
              <a:ext cx="839966" cy="3312"/>
            </a:xfrm>
            <a:prstGeom prst="curvedConnector3">
              <a:avLst>
                <a:gd name="adj1" fmla="val 50000"/>
              </a:avLst>
            </a:prstGeom>
            <a:ln>
              <a:tailEnd type="triangle" w="lg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8" name="Connector: Curved 134">
              <a:extLst>
                <a:ext uri="{FF2B5EF4-FFF2-40B4-BE49-F238E27FC236}">
                  <a16:creationId xmlns:a16="http://schemas.microsoft.com/office/drawing/2014/main" id="{CF8CEC8F-E60C-7E8E-27BC-53DF27476BC0}"/>
                </a:ext>
              </a:extLst>
            </xdr:cNvPr>
            <xdr:cNvCxnSpPr>
              <a:stCxn id="62" idx="2"/>
              <a:endCxn id="65" idx="0"/>
            </xdr:cNvCxnSpPr>
          </xdr:nvCxnSpPr>
          <xdr:spPr>
            <a:xfrm rot="16200000" flipH="1">
              <a:off x="16013049" y="4912387"/>
              <a:ext cx="834023" cy="1177062"/>
            </a:xfrm>
            <a:prstGeom prst="curvedConnector3">
              <a:avLst>
                <a:gd name="adj1" fmla="val 50000"/>
              </a:avLst>
            </a:prstGeom>
            <a:ln>
              <a:tailEnd type="triangl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CD6BB684-5FD2-33D4-1F80-61EEA9AD5227}"/>
                </a:ext>
              </a:extLst>
            </xdr:cNvPr>
            <xdr:cNvSpPr txBox="1"/>
          </xdr:nvSpPr>
          <xdr:spPr>
            <a:xfrm>
              <a:off x="14997168" y="5409847"/>
              <a:ext cx="229143" cy="21295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400"/>
                <a:t>+</a:t>
              </a:r>
            </a:p>
          </xdr:txBody>
        </xdr:sp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BAD1E4E7-CE15-6A2D-8026-8DEC227ED9BC}"/>
                </a:ext>
              </a:extLst>
            </xdr:cNvPr>
            <xdr:cNvSpPr txBox="1"/>
          </xdr:nvSpPr>
          <xdr:spPr>
            <a:xfrm>
              <a:off x="15735745" y="5504405"/>
              <a:ext cx="229135" cy="21295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400"/>
                <a:t>+</a:t>
              </a:r>
            </a:p>
          </xdr:txBody>
        </xdr:sp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495758BE-9B53-CF9B-A43A-F6184F318808}"/>
                </a:ext>
              </a:extLst>
            </xdr:cNvPr>
            <xdr:cNvSpPr txBox="1"/>
          </xdr:nvSpPr>
          <xdr:spPr>
            <a:xfrm>
              <a:off x="16381681" y="5424508"/>
              <a:ext cx="232293" cy="206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400"/>
                <a:t>-</a:t>
              </a:r>
            </a:p>
          </xdr:txBody>
        </xdr:sp>
        <xdr:cxnSp macro="">
          <xdr:nvCxnSpPr>
            <xdr:cNvPr id="82" name="Connector: Curved 138">
              <a:extLst>
                <a:ext uri="{FF2B5EF4-FFF2-40B4-BE49-F238E27FC236}">
                  <a16:creationId xmlns:a16="http://schemas.microsoft.com/office/drawing/2014/main" id="{C2F413A6-A89B-3C19-B487-B384362B06EF}"/>
                </a:ext>
              </a:extLst>
            </xdr:cNvPr>
            <xdr:cNvCxnSpPr>
              <a:stCxn id="83" idx="3"/>
              <a:endCxn id="66" idx="2"/>
            </xdr:cNvCxnSpPr>
          </xdr:nvCxnSpPr>
          <xdr:spPr>
            <a:xfrm flipV="1">
              <a:off x="16672412" y="3724203"/>
              <a:ext cx="437248" cy="658705"/>
            </a:xfrm>
            <a:prstGeom prst="curvedConnector2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'Sprint Summary | data'!U19">
        <xdr:nvSpPr>
          <xdr:cNvPr id="60" name="TextBox 59">
            <a:extLst>
              <a:ext uri="{FF2B5EF4-FFF2-40B4-BE49-F238E27FC236}">
                <a16:creationId xmlns:a16="http://schemas.microsoft.com/office/drawing/2014/main" id="{A0A18D80-8358-E648-E0F2-D5870EB43878}"/>
              </a:ext>
            </a:extLst>
          </xdr:cNvPr>
          <xdr:cNvSpPr txBox="1"/>
        </xdr:nvSpPr>
        <xdr:spPr>
          <a:xfrm>
            <a:off x="17765486" y="3954688"/>
            <a:ext cx="1656896" cy="415523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indent="0" algn="ctr"/>
            <a:fld id="{137F6DCA-D03A-4BD1-81FE-2A5383C62E25}" type="TxLink">
              <a:rPr lang="en-US" sz="1800" b="0" i="0" u="none" strike="noStrike">
                <a:solidFill>
                  <a:schemeClr val="bg2">
                    <a:lumMod val="75000"/>
                  </a:schemeClr>
                </a:solidFill>
                <a:latin typeface="Calibri"/>
                <a:ea typeface="+mn-ea"/>
                <a:cs typeface="Calibri"/>
              </a:rPr>
              <a:pPr marL="0" indent="0" algn="ctr"/>
              <a:t>#DIV/0!</a:t>
            </a:fld>
            <a:endParaRPr lang="en-AU" sz="1800" b="0" i="0" u="none" strike="noStrike">
              <a:solidFill>
                <a:schemeClr val="bg2">
                  <a:lumMod val="75000"/>
                </a:schemeClr>
              </a:solidFill>
              <a:latin typeface="Calibri"/>
              <a:ea typeface="+mn-ea"/>
              <a:cs typeface="Calibri"/>
            </a:endParaRPr>
          </a:p>
        </xdr:txBody>
      </xdr:sp>
    </xdr:grpSp>
    <xdr:clientData/>
  </xdr:twoCellAnchor>
  <xdr:twoCellAnchor>
    <xdr:from>
      <xdr:col>5</xdr:col>
      <xdr:colOff>102746</xdr:colOff>
      <xdr:row>3</xdr:row>
      <xdr:rowOff>114710</xdr:rowOff>
    </xdr:from>
    <xdr:to>
      <xdr:col>6</xdr:col>
      <xdr:colOff>76346</xdr:colOff>
      <xdr:row>3</xdr:row>
      <xdr:rowOff>651285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2352247E-5C81-5B42-A6FD-5876DD63DE52}"/>
            </a:ext>
          </a:extLst>
        </xdr:cNvPr>
        <xdr:cNvGrpSpPr/>
      </xdr:nvGrpSpPr>
      <xdr:grpSpPr>
        <a:xfrm>
          <a:off x="9856346" y="2515010"/>
          <a:ext cx="2691400" cy="536575"/>
          <a:chOff x="1920877" y="1854200"/>
          <a:chExt cx="2470148" cy="536575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5D573C7C-75F4-36D9-0DE3-429BABCD8B1E}"/>
              </a:ext>
            </a:extLst>
          </xdr:cNvPr>
          <xdr:cNvSpPr txBox="1"/>
        </xdr:nvSpPr>
        <xdr:spPr>
          <a:xfrm>
            <a:off x="1920877" y="1854200"/>
            <a:ext cx="2257423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 i="0" u="none" strike="noStrike">
                <a:solidFill>
                  <a:schemeClr val="tx1"/>
                </a:solidFill>
                <a:latin typeface="Calibri"/>
                <a:cs typeface="Calibri"/>
              </a:rPr>
              <a:t>Capacity Guide</a:t>
            </a:r>
          </a:p>
        </xdr:txBody>
      </xdr:sp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F29C9C81-6FB5-67F1-4D71-66F47D665B5A}"/>
              </a:ext>
            </a:extLst>
          </xdr:cNvPr>
          <xdr:cNvSpPr txBox="1"/>
        </xdr:nvSpPr>
        <xdr:spPr>
          <a:xfrm>
            <a:off x="1933576" y="2101850"/>
            <a:ext cx="2457449" cy="288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1" u="none" strike="noStrike">
                <a:solidFill>
                  <a:schemeClr val="bg2">
                    <a:lumMod val="50000"/>
                  </a:schemeClr>
                </a:solidFill>
                <a:latin typeface="Calibri"/>
                <a:cs typeface="Calibri"/>
              </a:rPr>
              <a:t>calculated trend vs squad availability</a:t>
            </a:r>
          </a:p>
        </xdr:txBody>
      </xdr:sp>
    </xdr:grpSp>
    <xdr:clientData/>
  </xdr:twoCellAnchor>
  <xdr:twoCellAnchor>
    <xdr:from>
      <xdr:col>4</xdr:col>
      <xdr:colOff>92915</xdr:colOff>
      <xdr:row>3</xdr:row>
      <xdr:rowOff>104386</xdr:rowOff>
    </xdr:from>
    <xdr:to>
      <xdr:col>4</xdr:col>
      <xdr:colOff>2496387</xdr:colOff>
      <xdr:row>3</xdr:row>
      <xdr:rowOff>640961</xdr:rowOff>
    </xdr:to>
    <xdr:grpSp>
      <xdr:nvGrpSpPr>
        <xdr:cNvPr id="89" name="Group 88">
          <a:extLst>
            <a:ext uri="{FF2B5EF4-FFF2-40B4-BE49-F238E27FC236}">
              <a16:creationId xmlns:a16="http://schemas.microsoft.com/office/drawing/2014/main" id="{3C253901-9C50-574C-AC53-2F20273F98E6}"/>
            </a:ext>
          </a:extLst>
        </xdr:cNvPr>
        <xdr:cNvGrpSpPr/>
      </xdr:nvGrpSpPr>
      <xdr:grpSpPr>
        <a:xfrm>
          <a:off x="7128715" y="2504686"/>
          <a:ext cx="2403472" cy="536575"/>
          <a:chOff x="1920877" y="1854200"/>
          <a:chExt cx="2394604" cy="536575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466DBD2B-F209-B60F-24A1-E29476ECFADF}"/>
              </a:ext>
            </a:extLst>
          </xdr:cNvPr>
          <xdr:cNvSpPr txBox="1"/>
        </xdr:nvSpPr>
        <xdr:spPr>
          <a:xfrm>
            <a:off x="1920877" y="1854200"/>
            <a:ext cx="2257423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 i="0" u="none" strike="noStrike">
                <a:solidFill>
                  <a:schemeClr val="tx1"/>
                </a:solidFill>
                <a:latin typeface="Calibri"/>
                <a:cs typeface="Calibri"/>
              </a:rPr>
              <a:t>Unestimated Work</a:t>
            </a:r>
          </a:p>
        </xdr:txBody>
      </xdr:sp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0A655DD3-A291-5886-76F4-532C3270824C}"/>
              </a:ext>
            </a:extLst>
          </xdr:cNvPr>
          <xdr:cNvSpPr txBox="1"/>
        </xdr:nvSpPr>
        <xdr:spPr>
          <a:xfrm>
            <a:off x="1933575" y="2101850"/>
            <a:ext cx="2381906" cy="288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1" u="none" strike="noStrike">
                <a:solidFill>
                  <a:schemeClr val="bg2">
                    <a:lumMod val="50000"/>
                  </a:schemeClr>
                </a:solidFill>
                <a:latin typeface="Calibri"/>
                <a:cs typeface="Calibri"/>
              </a:rPr>
              <a:t>percentage of unestimated work items</a:t>
            </a:r>
          </a:p>
        </xdr:txBody>
      </xdr:sp>
    </xdr:grpSp>
    <xdr:clientData/>
  </xdr:twoCellAnchor>
  <xdr:twoCellAnchor>
    <xdr:from>
      <xdr:col>4</xdr:col>
      <xdr:colOff>474899</xdr:colOff>
      <xdr:row>3</xdr:row>
      <xdr:rowOff>1467094</xdr:rowOff>
    </xdr:from>
    <xdr:to>
      <xdr:col>4</xdr:col>
      <xdr:colOff>1862374</xdr:colOff>
      <xdr:row>4</xdr:row>
      <xdr:rowOff>452813</xdr:rowOff>
    </xdr:to>
    <xdr:sp macro="" textlink="'Sprint Summary | data'!J50">
      <xdr:nvSpPr>
        <xdr:cNvPr id="92" name="TextBox 91">
          <a:extLst>
            <a:ext uri="{FF2B5EF4-FFF2-40B4-BE49-F238E27FC236}">
              <a16:creationId xmlns:a16="http://schemas.microsoft.com/office/drawing/2014/main" id="{8CA532D2-2615-0945-87B5-B94900985C9D}"/>
            </a:ext>
          </a:extLst>
        </xdr:cNvPr>
        <xdr:cNvSpPr txBox="1"/>
      </xdr:nvSpPr>
      <xdr:spPr>
        <a:xfrm>
          <a:off x="7510699" y="3867394"/>
          <a:ext cx="1387475" cy="83991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l"/>
          <a:fld id="{341120F6-609F-4ECE-B583-DE8602FD3FB6}" type="TxLink">
            <a:rPr lang="en-US" sz="48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l"/>
            <a:t>0</a:t>
          </a:fld>
          <a:endParaRPr lang="en-AU" sz="48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2224816</xdr:colOff>
      <xdr:row>4</xdr:row>
      <xdr:rowOff>1049904</xdr:rowOff>
    </xdr:from>
    <xdr:to>
      <xdr:col>5</xdr:col>
      <xdr:colOff>61600</xdr:colOff>
      <xdr:row>4</xdr:row>
      <xdr:rowOff>1422596</xdr:rowOff>
    </xdr:to>
    <xdr:sp macro="" textlink="'Sprint Summary | data'!J52">
      <xdr:nvSpPr>
        <xdr:cNvPr id="93" name="TextBox 92">
          <a:extLst>
            <a:ext uri="{FF2B5EF4-FFF2-40B4-BE49-F238E27FC236}">
              <a16:creationId xmlns:a16="http://schemas.microsoft.com/office/drawing/2014/main" id="{526DDA00-594B-3F40-AAF8-A4DCCB2A4AEF}"/>
            </a:ext>
          </a:extLst>
        </xdr:cNvPr>
        <xdr:cNvSpPr txBox="1"/>
      </xdr:nvSpPr>
      <xdr:spPr>
        <a:xfrm>
          <a:off x="9260616" y="5304404"/>
          <a:ext cx="554584" cy="37269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l"/>
          <a:fld id="{2DC1FD1F-8D8E-B54C-8098-EB3496C8F04D}" type="TxLink">
            <a:rPr lang="en-US" sz="2000" b="0" i="0" u="none" strike="noStrike">
              <a:solidFill>
                <a:schemeClr val="bg2">
                  <a:lumMod val="75000"/>
                </a:schemeClr>
              </a:solidFill>
              <a:latin typeface="Calibri"/>
              <a:ea typeface="+mn-ea"/>
              <a:cs typeface="Calibri"/>
            </a:rPr>
            <a:pPr marL="0" indent="0" algn="l"/>
            <a:t>0</a:t>
          </a:fld>
          <a:endParaRPr lang="en-AU" sz="2000" b="0" i="0" u="none" strike="noStrike">
            <a:solidFill>
              <a:schemeClr val="bg2">
                <a:lumMod val="75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1307886</xdr:colOff>
      <xdr:row>4</xdr:row>
      <xdr:rowOff>1041730</xdr:rowOff>
    </xdr:from>
    <xdr:to>
      <xdr:col>4</xdr:col>
      <xdr:colOff>2324416</xdr:colOff>
      <xdr:row>4</xdr:row>
      <xdr:rowOff>1405127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14FBE885-9905-D24F-875C-102C29DCF0FD}"/>
            </a:ext>
          </a:extLst>
        </xdr:cNvPr>
        <xdr:cNvSpPr txBox="1"/>
      </xdr:nvSpPr>
      <xdr:spPr>
        <a:xfrm>
          <a:off x="8343686" y="5296230"/>
          <a:ext cx="1016530" cy="3633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AU" sz="800">
              <a:solidFill>
                <a:schemeClr val="bg2">
                  <a:lumMod val="75000"/>
                </a:schemeClr>
              </a:solidFill>
            </a:rPr>
            <a:t>total</a:t>
          </a:r>
          <a:r>
            <a:rPr lang="en-AU" sz="800" baseline="0">
              <a:solidFill>
                <a:schemeClr val="bg2">
                  <a:lumMod val="75000"/>
                </a:schemeClr>
              </a:solidFill>
            </a:rPr>
            <a:t> </a:t>
          </a:r>
          <a:r>
            <a:rPr lang="en-AU" sz="800">
              <a:solidFill>
                <a:schemeClr val="bg2">
                  <a:lumMod val="75000"/>
                </a:schemeClr>
              </a:solidFill>
            </a:rPr>
            <a:t>work</a:t>
          </a:r>
          <a:endParaRPr lang="en-AU" sz="800" baseline="0">
            <a:solidFill>
              <a:schemeClr val="bg2">
                <a:lumMod val="75000"/>
              </a:schemeClr>
            </a:solidFill>
          </a:endParaRPr>
        </a:p>
        <a:p>
          <a:pPr algn="r"/>
          <a:r>
            <a:rPr lang="en-AU" sz="800" baseline="0">
              <a:solidFill>
                <a:schemeClr val="bg2">
                  <a:lumMod val="75000"/>
                </a:schemeClr>
              </a:solidFill>
            </a:rPr>
            <a:t>items unestimated</a:t>
          </a:r>
          <a:endParaRPr lang="en-AU" sz="800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>
    <xdr:from>
      <xdr:col>4</xdr:col>
      <xdr:colOff>2226404</xdr:colOff>
      <xdr:row>4</xdr:row>
      <xdr:rowOff>1427679</xdr:rowOff>
    </xdr:from>
    <xdr:to>
      <xdr:col>5</xdr:col>
      <xdr:colOff>63188</xdr:colOff>
      <xdr:row>4</xdr:row>
      <xdr:rowOff>1800371</xdr:rowOff>
    </xdr:to>
    <xdr:sp macro="" textlink="'Sprint Summary | data'!J53">
      <xdr:nvSpPr>
        <xdr:cNvPr id="95" name="TextBox 94">
          <a:extLst>
            <a:ext uri="{FF2B5EF4-FFF2-40B4-BE49-F238E27FC236}">
              <a16:creationId xmlns:a16="http://schemas.microsoft.com/office/drawing/2014/main" id="{B102D38F-C54B-EE49-A344-8BEE084BC4F5}"/>
            </a:ext>
          </a:extLst>
        </xdr:cNvPr>
        <xdr:cNvSpPr txBox="1"/>
      </xdr:nvSpPr>
      <xdr:spPr>
        <a:xfrm>
          <a:off x="9262204" y="5682179"/>
          <a:ext cx="554584" cy="37269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l"/>
          <a:fld id="{252A89CD-F399-4E3C-9004-9802174D53B9}" type="TxLink">
            <a:rPr lang="en-US" sz="2000" b="0" i="0" u="none" strike="noStrike">
              <a:solidFill>
                <a:schemeClr val="bg2">
                  <a:lumMod val="75000"/>
                </a:schemeClr>
              </a:solidFill>
              <a:latin typeface="Calibri"/>
              <a:ea typeface="+mn-ea"/>
              <a:cs typeface="Calibri"/>
            </a:rPr>
            <a:pPr marL="0" indent="0" algn="l"/>
            <a:t>0</a:t>
          </a:fld>
          <a:endParaRPr lang="en-AU" sz="2000" b="0" i="0" u="none" strike="noStrike">
            <a:solidFill>
              <a:schemeClr val="bg2">
                <a:lumMod val="75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1246915</xdr:colOff>
      <xdr:row>4</xdr:row>
      <xdr:rowOff>1390769</xdr:rowOff>
    </xdr:from>
    <xdr:to>
      <xdr:col>4</xdr:col>
      <xdr:colOff>2332502</xdr:colOff>
      <xdr:row>4</xdr:row>
      <xdr:rowOff>1826358</xdr:rowOff>
    </xdr:to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18A6AC05-D199-7649-B7B7-33FA9FACFAFB}"/>
            </a:ext>
          </a:extLst>
        </xdr:cNvPr>
        <xdr:cNvSpPr txBox="1"/>
      </xdr:nvSpPr>
      <xdr:spPr>
        <a:xfrm>
          <a:off x="8282715" y="5645269"/>
          <a:ext cx="1085587" cy="4355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AU" sz="800">
              <a:solidFill>
                <a:schemeClr val="bg2">
                  <a:lumMod val="75000"/>
                </a:schemeClr>
              </a:solidFill>
            </a:rPr>
            <a:t>total</a:t>
          </a:r>
          <a:r>
            <a:rPr lang="en-AU" sz="800" baseline="0">
              <a:solidFill>
                <a:schemeClr val="bg2">
                  <a:lumMod val="75000"/>
                </a:schemeClr>
              </a:solidFill>
            </a:rPr>
            <a:t> </a:t>
          </a:r>
          <a:r>
            <a:rPr lang="en-AU" sz="800">
              <a:solidFill>
                <a:schemeClr val="bg2">
                  <a:lumMod val="75000"/>
                </a:schemeClr>
              </a:solidFill>
            </a:rPr>
            <a:t>work</a:t>
          </a:r>
          <a:endParaRPr lang="en-AU" sz="800" baseline="0">
            <a:solidFill>
              <a:schemeClr val="bg2">
                <a:lumMod val="75000"/>
              </a:schemeClr>
            </a:solidFill>
          </a:endParaRPr>
        </a:p>
        <a:p>
          <a:pPr algn="r"/>
          <a:r>
            <a:rPr lang="en-AU" sz="800" baseline="0">
              <a:solidFill>
                <a:schemeClr val="bg2">
                  <a:lumMod val="75000"/>
                </a:schemeClr>
              </a:solidFill>
            </a:rPr>
            <a:t>items planned</a:t>
          </a:r>
          <a:endParaRPr lang="en-AU" sz="800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>
    <xdr:from>
      <xdr:col>4</xdr:col>
      <xdr:colOff>159536</xdr:colOff>
      <xdr:row>5</xdr:row>
      <xdr:rowOff>326697</xdr:rowOff>
    </xdr:from>
    <xdr:to>
      <xdr:col>5</xdr:col>
      <xdr:colOff>2377927</xdr:colOff>
      <xdr:row>15</xdr:row>
      <xdr:rowOff>188905</xdr:rowOff>
    </xdr:to>
    <xdr:grpSp>
      <xdr:nvGrpSpPr>
        <xdr:cNvPr id="97" name="Group 96">
          <a:extLst>
            <a:ext uri="{FF2B5EF4-FFF2-40B4-BE49-F238E27FC236}">
              <a16:creationId xmlns:a16="http://schemas.microsoft.com/office/drawing/2014/main" id="{E7EB347F-3BE9-AC4F-AA99-EFC60D31527B}"/>
            </a:ext>
          </a:extLst>
        </xdr:cNvPr>
        <xdr:cNvGrpSpPr/>
      </xdr:nvGrpSpPr>
      <xdr:grpSpPr>
        <a:xfrm>
          <a:off x="7195336" y="6422697"/>
          <a:ext cx="4936191" cy="3342008"/>
          <a:chOff x="900706" y="5293038"/>
          <a:chExt cx="4942746" cy="3405917"/>
        </a:xfrm>
      </xdr:grpSpPr>
      <xdr:graphicFrame macro="">
        <xdr:nvGraphicFramePr>
          <xdr:cNvPr id="98" name="Chart 97">
            <a:extLst>
              <a:ext uri="{FF2B5EF4-FFF2-40B4-BE49-F238E27FC236}">
                <a16:creationId xmlns:a16="http://schemas.microsoft.com/office/drawing/2014/main" id="{58FB8BE6-54B8-43EA-9946-AD46AB76657C}"/>
              </a:ext>
            </a:extLst>
          </xdr:cNvPr>
          <xdr:cNvGraphicFramePr>
            <a:graphicFrameLocks/>
          </xdr:cNvGraphicFramePr>
        </xdr:nvGraphicFramePr>
        <xdr:xfrm>
          <a:off x="1202704" y="5293038"/>
          <a:ext cx="4606519" cy="225107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99" name="Chart 98">
            <a:extLst>
              <a:ext uri="{FF2B5EF4-FFF2-40B4-BE49-F238E27FC236}">
                <a16:creationId xmlns:a16="http://schemas.microsoft.com/office/drawing/2014/main" id="{0D0C592F-7E6D-494C-42E1-4D8614700CD1}"/>
              </a:ext>
            </a:extLst>
          </xdr:cNvPr>
          <xdr:cNvGraphicFramePr>
            <a:graphicFrameLocks/>
          </xdr:cNvGraphicFramePr>
        </xdr:nvGraphicFramePr>
        <xdr:xfrm>
          <a:off x="949869" y="7206735"/>
          <a:ext cx="4893583" cy="14922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100" name="Rectangle 99">
            <a:extLst>
              <a:ext uri="{FF2B5EF4-FFF2-40B4-BE49-F238E27FC236}">
                <a16:creationId xmlns:a16="http://schemas.microsoft.com/office/drawing/2014/main" id="{74979E1E-1A75-D2E9-E505-3FA87EC9DFE5}"/>
              </a:ext>
            </a:extLst>
          </xdr:cNvPr>
          <xdr:cNvSpPr/>
        </xdr:nvSpPr>
        <xdr:spPr>
          <a:xfrm>
            <a:off x="900706" y="5799776"/>
            <a:ext cx="593587" cy="1228587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graphicFrame macro="">
        <xdr:nvGraphicFramePr>
          <xdr:cNvPr id="101" name="Chart 100">
            <a:extLst>
              <a:ext uri="{FF2B5EF4-FFF2-40B4-BE49-F238E27FC236}">
                <a16:creationId xmlns:a16="http://schemas.microsoft.com/office/drawing/2014/main" id="{0F9BD808-D2DE-3B49-7DD3-7635BF267904}"/>
              </a:ext>
            </a:extLst>
          </xdr:cNvPr>
          <xdr:cNvGraphicFramePr>
            <a:graphicFrameLocks/>
          </xdr:cNvGraphicFramePr>
        </xdr:nvGraphicFramePr>
        <xdr:xfrm>
          <a:off x="949869" y="6419337"/>
          <a:ext cx="4893583" cy="99694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4</xdr:col>
      <xdr:colOff>133227</xdr:colOff>
      <xdr:row>5</xdr:row>
      <xdr:rowOff>92915</xdr:rowOff>
    </xdr:from>
    <xdr:to>
      <xdr:col>4</xdr:col>
      <xdr:colOff>2600200</xdr:colOff>
      <xdr:row>5</xdr:row>
      <xdr:rowOff>629490</xdr:rowOff>
    </xdr:to>
    <xdr:grpSp>
      <xdr:nvGrpSpPr>
        <xdr:cNvPr id="102" name="Group 101">
          <a:extLst>
            <a:ext uri="{FF2B5EF4-FFF2-40B4-BE49-F238E27FC236}">
              <a16:creationId xmlns:a16="http://schemas.microsoft.com/office/drawing/2014/main" id="{2127126F-4EDF-764D-9288-411BF844DB71}"/>
            </a:ext>
          </a:extLst>
        </xdr:cNvPr>
        <xdr:cNvGrpSpPr/>
      </xdr:nvGrpSpPr>
      <xdr:grpSpPr>
        <a:xfrm>
          <a:off x="7169027" y="6188915"/>
          <a:ext cx="2466973" cy="536575"/>
          <a:chOff x="1920877" y="1854200"/>
          <a:chExt cx="2470148" cy="536575"/>
        </a:xfrm>
      </xdr:grpSpPr>
      <xdr:sp macro="" textlink="">
        <xdr:nvSpPr>
          <xdr:cNvPr id="103" name="TextBox 102">
            <a:extLst>
              <a:ext uri="{FF2B5EF4-FFF2-40B4-BE49-F238E27FC236}">
                <a16:creationId xmlns:a16="http://schemas.microsoft.com/office/drawing/2014/main" id="{14B40CA3-B63E-D4D0-BC89-4F3E609349BC}"/>
              </a:ext>
            </a:extLst>
          </xdr:cNvPr>
          <xdr:cNvSpPr txBox="1"/>
        </xdr:nvSpPr>
        <xdr:spPr>
          <a:xfrm>
            <a:off x="1920877" y="1854200"/>
            <a:ext cx="2257423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 i="0" u="none" strike="noStrike">
                <a:solidFill>
                  <a:schemeClr val="tx1"/>
                </a:solidFill>
                <a:latin typeface="Calibri"/>
                <a:cs typeface="Calibri"/>
              </a:rPr>
              <a:t>Sprint Completion</a:t>
            </a:r>
          </a:p>
        </xdr:txBody>
      </xdr:sp>
      <xdr:sp macro="" textlink="">
        <xdr:nvSpPr>
          <xdr:cNvPr id="104" name="TextBox 103">
            <a:extLst>
              <a:ext uri="{FF2B5EF4-FFF2-40B4-BE49-F238E27FC236}">
                <a16:creationId xmlns:a16="http://schemas.microsoft.com/office/drawing/2014/main" id="{082D12D7-2661-BBC1-6524-54CD8C639D1E}"/>
              </a:ext>
            </a:extLst>
          </xdr:cNvPr>
          <xdr:cNvSpPr txBox="1"/>
        </xdr:nvSpPr>
        <xdr:spPr>
          <a:xfrm>
            <a:off x="1933576" y="2101850"/>
            <a:ext cx="2457449" cy="288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1" u="none" strike="noStrike">
                <a:solidFill>
                  <a:schemeClr val="bg2">
                    <a:lumMod val="50000"/>
                  </a:schemeClr>
                </a:solidFill>
                <a:latin typeface="Calibri"/>
                <a:cs typeface="Calibri"/>
              </a:rPr>
              <a:t>story</a:t>
            </a:r>
            <a:r>
              <a:rPr lang="en-US" sz="1100" b="0" i="1" u="none" strike="noStrike" baseline="0">
                <a:solidFill>
                  <a:schemeClr val="bg2">
                    <a:lumMod val="50000"/>
                  </a:schemeClr>
                </a:solidFill>
                <a:latin typeface="Calibri"/>
                <a:cs typeface="Calibri"/>
              </a:rPr>
              <a:t> points delivered</a:t>
            </a:r>
            <a:endParaRPr lang="en-US" sz="1100" b="0" i="1" u="none" strike="noStrike">
              <a:solidFill>
                <a:schemeClr val="bg2">
                  <a:lumMod val="50000"/>
                </a:schemeClr>
              </a:solidFill>
              <a:latin typeface="Calibri"/>
              <a:cs typeface="Calibri"/>
            </a:endParaRPr>
          </a:p>
        </xdr:txBody>
      </xdr:sp>
    </xdr:grpSp>
    <xdr:clientData/>
  </xdr:twoCellAnchor>
  <xdr:twoCellAnchor>
    <xdr:from>
      <xdr:col>2</xdr:col>
      <xdr:colOff>95104</xdr:colOff>
      <xdr:row>15</xdr:row>
      <xdr:rowOff>86407</xdr:rowOff>
    </xdr:from>
    <xdr:to>
      <xdr:col>3</xdr:col>
      <xdr:colOff>304798</xdr:colOff>
      <xdr:row>15</xdr:row>
      <xdr:rowOff>851617</xdr:rowOff>
    </xdr:to>
    <xdr:grpSp>
      <xdr:nvGrpSpPr>
        <xdr:cNvPr id="106" name="Group 105">
          <a:extLst>
            <a:ext uri="{FF2B5EF4-FFF2-40B4-BE49-F238E27FC236}">
              <a16:creationId xmlns:a16="http://schemas.microsoft.com/office/drawing/2014/main" id="{6E538E08-0EF0-B64A-9C62-02F16D9C58A8}"/>
            </a:ext>
          </a:extLst>
        </xdr:cNvPr>
        <xdr:cNvGrpSpPr/>
      </xdr:nvGrpSpPr>
      <xdr:grpSpPr>
        <a:xfrm>
          <a:off x="882504" y="9662207"/>
          <a:ext cx="3321194" cy="765210"/>
          <a:chOff x="1920876" y="1854200"/>
          <a:chExt cx="3319649" cy="433685"/>
        </a:xfrm>
      </xdr:grpSpPr>
      <xdr:sp macro="" textlink="">
        <xdr:nvSpPr>
          <xdr:cNvPr id="107" name="TextBox 106">
            <a:extLst>
              <a:ext uri="{FF2B5EF4-FFF2-40B4-BE49-F238E27FC236}">
                <a16:creationId xmlns:a16="http://schemas.microsoft.com/office/drawing/2014/main" id="{1E283AC1-FD98-056A-FA97-2B03764AD164}"/>
              </a:ext>
            </a:extLst>
          </xdr:cNvPr>
          <xdr:cNvSpPr txBox="1"/>
        </xdr:nvSpPr>
        <xdr:spPr>
          <a:xfrm>
            <a:off x="1933575" y="1998960"/>
            <a:ext cx="3306950" cy="288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1" u="none" strike="noStrike">
                <a:solidFill>
                  <a:schemeClr val="bg2">
                    <a:lumMod val="50000"/>
                  </a:schemeClr>
                </a:solidFill>
                <a:latin typeface="Calibri"/>
                <a:cs typeface="Calibri"/>
              </a:rPr>
              <a:t>where the effort was focused (completed points)</a:t>
            </a:r>
          </a:p>
        </xdr:txBody>
      </xdr:sp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DC2D557F-4594-5FFE-1459-A6EA8CDD144D}"/>
              </a:ext>
            </a:extLst>
          </xdr:cNvPr>
          <xdr:cNvSpPr txBox="1"/>
        </xdr:nvSpPr>
        <xdr:spPr>
          <a:xfrm>
            <a:off x="1920876" y="1854200"/>
            <a:ext cx="3238163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 i="0" u="none" strike="noStrike">
                <a:solidFill>
                  <a:schemeClr val="tx1"/>
                </a:solidFill>
                <a:latin typeface="Calibri"/>
                <a:cs typeface="Calibri"/>
              </a:rPr>
              <a:t>Delivery Allocation</a:t>
            </a:r>
            <a:r>
              <a:rPr lang="en-US" sz="1600" b="1" i="0" u="none" strike="noStrike" baseline="0">
                <a:solidFill>
                  <a:schemeClr val="tx1"/>
                </a:solidFill>
                <a:latin typeface="Calibri"/>
                <a:cs typeface="Calibri"/>
              </a:rPr>
              <a:t> | epics</a:t>
            </a:r>
            <a:endParaRPr lang="en-US" sz="1600" b="1" i="0" u="none" strike="noStrike">
              <a:solidFill>
                <a:schemeClr val="tx1"/>
              </a:solidFill>
              <a:latin typeface="Calibri"/>
              <a:cs typeface="Calibri"/>
            </a:endParaRPr>
          </a:p>
        </xdr:txBody>
      </xdr:sp>
    </xdr:grpSp>
    <xdr:clientData/>
  </xdr:twoCellAnchor>
  <xdr:twoCellAnchor>
    <xdr:from>
      <xdr:col>4</xdr:col>
      <xdr:colOff>1559692</xdr:colOff>
      <xdr:row>3</xdr:row>
      <xdr:rowOff>1477254</xdr:rowOff>
    </xdr:from>
    <xdr:to>
      <xdr:col>4</xdr:col>
      <xdr:colOff>2445314</xdr:colOff>
      <xdr:row>4</xdr:row>
      <xdr:rowOff>462973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33D83C53-45EA-E240-A4A4-780F5EDDA827}"/>
            </a:ext>
          </a:extLst>
        </xdr:cNvPr>
        <xdr:cNvSpPr txBox="1"/>
      </xdr:nvSpPr>
      <xdr:spPr>
        <a:xfrm>
          <a:off x="8595492" y="3877554"/>
          <a:ext cx="885622" cy="83991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l"/>
          <a:r>
            <a:rPr lang="en-US" sz="48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t>%</a:t>
          </a:r>
        </a:p>
      </xdr:txBody>
    </xdr:sp>
    <xdr:clientData/>
  </xdr:twoCellAnchor>
  <xdr:twoCellAnchor>
    <xdr:from>
      <xdr:col>4</xdr:col>
      <xdr:colOff>2074502</xdr:colOff>
      <xdr:row>3</xdr:row>
      <xdr:rowOff>1551466</xdr:rowOff>
    </xdr:from>
    <xdr:to>
      <xdr:col>8</xdr:col>
      <xdr:colOff>253009</xdr:colOff>
      <xdr:row>5</xdr:row>
      <xdr:rowOff>920877</xdr:rowOff>
    </xdr:to>
    <xdr:grpSp>
      <xdr:nvGrpSpPr>
        <xdr:cNvPr id="124" name="Group 123">
          <a:extLst>
            <a:ext uri="{FF2B5EF4-FFF2-40B4-BE49-F238E27FC236}">
              <a16:creationId xmlns:a16="http://schemas.microsoft.com/office/drawing/2014/main" id="{7F27AD1F-5CCF-A2C4-48E6-8A4C73A7F0CF}"/>
            </a:ext>
          </a:extLst>
        </xdr:cNvPr>
        <xdr:cNvGrpSpPr/>
      </xdr:nvGrpSpPr>
      <xdr:grpSpPr>
        <a:xfrm>
          <a:off x="9110302" y="3951766"/>
          <a:ext cx="6319207" cy="3065111"/>
          <a:chOff x="9118769" y="3955999"/>
          <a:chExt cx="6323440" cy="3069345"/>
        </a:xfrm>
      </xdr:grpSpPr>
      <xdr:sp macro="" textlink="">
        <xdr:nvSpPr>
          <xdr:cNvPr id="105" name="Oval 104">
            <a:extLst>
              <a:ext uri="{FF2B5EF4-FFF2-40B4-BE49-F238E27FC236}">
                <a16:creationId xmlns:a16="http://schemas.microsoft.com/office/drawing/2014/main" id="{53D5B9DC-5508-D546-8D44-5B04AE5685C6}"/>
              </a:ext>
            </a:extLst>
          </xdr:cNvPr>
          <xdr:cNvSpPr/>
        </xdr:nvSpPr>
        <xdr:spPr>
          <a:xfrm>
            <a:off x="13713085" y="3955999"/>
            <a:ext cx="1729124" cy="867913"/>
          </a:xfrm>
          <a:prstGeom prst="ellipse">
            <a:avLst/>
          </a:prstGeom>
          <a:noFill/>
          <a:ln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0" name="Freeform 109">
            <a:extLst>
              <a:ext uri="{FF2B5EF4-FFF2-40B4-BE49-F238E27FC236}">
                <a16:creationId xmlns:a16="http://schemas.microsoft.com/office/drawing/2014/main" id="{2BF385C1-33A0-D345-AB24-1395DCA1C035}"/>
              </a:ext>
            </a:extLst>
          </xdr:cNvPr>
          <xdr:cNvSpPr/>
        </xdr:nvSpPr>
        <xdr:spPr>
          <a:xfrm>
            <a:off x="9118769" y="4410526"/>
            <a:ext cx="4605698" cy="2614818"/>
          </a:xfrm>
          <a:custGeom>
            <a:avLst/>
            <a:gdLst>
              <a:gd name="connsiteX0" fmla="*/ 4746056 w 4746056"/>
              <a:gd name="connsiteY0" fmla="*/ 0 h 2494462"/>
              <a:gd name="connsiteX1" fmla="*/ 4401992 w 4746056"/>
              <a:gd name="connsiteY1" fmla="*/ 131553 h 2494462"/>
              <a:gd name="connsiteX2" fmla="*/ 3521594 w 4746056"/>
              <a:gd name="connsiteY2" fmla="*/ 344063 h 2494462"/>
              <a:gd name="connsiteX3" fmla="*/ 2575419 w 4746056"/>
              <a:gd name="connsiteY3" fmla="*/ 1356015 h 2494462"/>
              <a:gd name="connsiteX4" fmla="*/ 622351 w 4746056"/>
              <a:gd name="connsiteY4" fmla="*/ 2054262 h 2494462"/>
              <a:gd name="connsiteX5" fmla="*/ 0 w 4746056"/>
              <a:gd name="connsiteY5" fmla="*/ 2494462 h 249446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4746056" h="2494462">
                <a:moveTo>
                  <a:pt x="4746056" y="0"/>
                </a:moveTo>
                <a:cubicBezTo>
                  <a:pt x="4676062" y="37104"/>
                  <a:pt x="4606069" y="74209"/>
                  <a:pt x="4401992" y="131553"/>
                </a:cubicBezTo>
                <a:cubicBezTo>
                  <a:pt x="4197915" y="188897"/>
                  <a:pt x="3826023" y="139986"/>
                  <a:pt x="3521594" y="344063"/>
                </a:cubicBezTo>
                <a:cubicBezTo>
                  <a:pt x="3217165" y="548140"/>
                  <a:pt x="3058626" y="1070982"/>
                  <a:pt x="2575419" y="1356015"/>
                </a:cubicBezTo>
                <a:cubicBezTo>
                  <a:pt x="2092212" y="1641048"/>
                  <a:pt x="1051587" y="1864521"/>
                  <a:pt x="622351" y="2054262"/>
                </a:cubicBezTo>
                <a:cubicBezTo>
                  <a:pt x="193114" y="2244003"/>
                  <a:pt x="96557" y="2369232"/>
                  <a:pt x="0" y="2494462"/>
                </a:cubicBezTo>
              </a:path>
            </a:pathLst>
          </a:custGeom>
          <a:noFill/>
          <a:ln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11" name="Oval 110">
            <a:extLst>
              <a:ext uri="{FF2B5EF4-FFF2-40B4-BE49-F238E27FC236}">
                <a16:creationId xmlns:a16="http://schemas.microsoft.com/office/drawing/2014/main" id="{D0C4B5D2-B6B8-A645-93A2-61AF688DB3E6}"/>
              </a:ext>
            </a:extLst>
          </xdr:cNvPr>
          <xdr:cNvSpPr/>
        </xdr:nvSpPr>
        <xdr:spPr>
          <a:xfrm>
            <a:off x="11467318" y="4581398"/>
            <a:ext cx="1090229" cy="471751"/>
          </a:xfrm>
          <a:prstGeom prst="ellipse">
            <a:avLst/>
          </a:prstGeom>
          <a:solidFill>
            <a:schemeClr val="bg1"/>
          </a:solidFill>
          <a:ln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5</xdr:col>
      <xdr:colOff>367632</xdr:colOff>
      <xdr:row>3</xdr:row>
      <xdr:rowOff>1446109</xdr:rowOff>
    </xdr:from>
    <xdr:to>
      <xdr:col>6</xdr:col>
      <xdr:colOff>112545</xdr:colOff>
      <xdr:row>4</xdr:row>
      <xdr:rowOff>763925</xdr:rowOff>
    </xdr:to>
    <xdr:grpSp>
      <xdr:nvGrpSpPr>
        <xdr:cNvPr id="112" name="Group 111">
          <a:extLst>
            <a:ext uri="{FF2B5EF4-FFF2-40B4-BE49-F238E27FC236}">
              <a16:creationId xmlns:a16="http://schemas.microsoft.com/office/drawing/2014/main" id="{22595F1D-07C6-634E-8C52-21AD576D694A}"/>
            </a:ext>
          </a:extLst>
        </xdr:cNvPr>
        <xdr:cNvGrpSpPr/>
      </xdr:nvGrpSpPr>
      <xdr:grpSpPr>
        <a:xfrm>
          <a:off x="10121232" y="3846409"/>
          <a:ext cx="2462713" cy="1172016"/>
          <a:chOff x="10122851" y="3844436"/>
          <a:chExt cx="2462005" cy="1169688"/>
        </a:xfrm>
      </xdr:grpSpPr>
      <xdr:sp macro="" textlink="">
        <xdr:nvSpPr>
          <xdr:cNvPr id="113" name="TextBox 112">
            <a:extLst>
              <a:ext uri="{FF2B5EF4-FFF2-40B4-BE49-F238E27FC236}">
                <a16:creationId xmlns:a16="http://schemas.microsoft.com/office/drawing/2014/main" id="{A0E8E810-A9FD-A819-6783-5FC425DADFB4}"/>
              </a:ext>
            </a:extLst>
          </xdr:cNvPr>
          <xdr:cNvSpPr txBox="1"/>
        </xdr:nvSpPr>
        <xdr:spPr>
          <a:xfrm>
            <a:off x="10446969" y="3880156"/>
            <a:ext cx="1023420" cy="3278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en-AU" sz="2000">
                <a:solidFill>
                  <a:schemeClr val="bg2">
                    <a:lumMod val="50000"/>
                  </a:schemeClr>
                </a:solidFill>
              </a:rPr>
              <a:t>trend</a:t>
            </a:r>
          </a:p>
        </xdr:txBody>
      </xdr:sp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DE24C003-AF02-C2C4-5645-72C1C3F72D34}"/>
              </a:ext>
            </a:extLst>
          </xdr:cNvPr>
          <xdr:cNvSpPr txBox="1"/>
        </xdr:nvSpPr>
        <xdr:spPr>
          <a:xfrm>
            <a:off x="10456757" y="4640843"/>
            <a:ext cx="1020763" cy="3278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en-AU" sz="2000" b="1">
                <a:solidFill>
                  <a:schemeClr val="bg2">
                    <a:lumMod val="50000"/>
                  </a:schemeClr>
                </a:solidFill>
              </a:rPr>
              <a:t>target</a:t>
            </a:r>
          </a:p>
        </xdr:txBody>
      </xdr:sp>
      <xdr:sp macro="" textlink="'Sprint Summary | data'!N9">
        <xdr:nvSpPr>
          <xdr:cNvPr id="115" name="TextBox 114">
            <a:extLst>
              <a:ext uri="{FF2B5EF4-FFF2-40B4-BE49-F238E27FC236}">
                <a16:creationId xmlns:a16="http://schemas.microsoft.com/office/drawing/2014/main" id="{372A64DB-540A-8EF2-D831-C01E1E491E3E}"/>
              </a:ext>
            </a:extLst>
          </xdr:cNvPr>
          <xdr:cNvSpPr txBox="1"/>
        </xdr:nvSpPr>
        <xdr:spPr>
          <a:xfrm>
            <a:off x="11440249" y="3844436"/>
            <a:ext cx="1144607" cy="42539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marL="0" indent="0" algn="ctr"/>
            <a:fld id="{CB556686-0394-410C-9D71-0C6388A8B48E}" type="TxLink">
              <a:rPr lang="en-US" sz="2800" b="0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rPr>
              <a:pPr marL="0" indent="0" algn="ctr"/>
              <a:t>0</a:t>
            </a:fld>
            <a:endParaRPr lang="en-AU" sz="28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endParaRPr>
          </a:p>
        </xdr:txBody>
      </xdr:sp>
      <xdr:pic>
        <xdr:nvPicPr>
          <xdr:cNvPr id="116" name="Graphic 115">
            <a:extLst>
              <a:ext uri="{FF2B5EF4-FFF2-40B4-BE49-F238E27FC236}">
                <a16:creationId xmlns:a16="http://schemas.microsoft.com/office/drawing/2014/main" id="{F8BBB819-FC0F-F318-B570-7D00E75EC6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10141948" y="4629949"/>
            <a:ext cx="411712" cy="384175"/>
          </a:xfrm>
          <a:prstGeom prst="rect">
            <a:avLst/>
          </a:prstGeom>
        </xdr:spPr>
      </xdr:pic>
      <xdr:pic>
        <xdr:nvPicPr>
          <xdr:cNvPr id="117" name="Graphic 116">
            <a:extLst>
              <a:ext uri="{FF2B5EF4-FFF2-40B4-BE49-F238E27FC236}">
                <a16:creationId xmlns:a16="http://schemas.microsoft.com/office/drawing/2014/main" id="{D3035404-6A01-F20E-55EF-C5993A1447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10122851" y="3890301"/>
            <a:ext cx="441248" cy="334480"/>
          </a:xfrm>
          <a:prstGeom prst="rect">
            <a:avLst/>
          </a:prstGeom>
        </xdr:spPr>
      </xdr:pic>
      <xdr:sp macro="" textlink="'Sprint Summary | data'!N10">
        <xdr:nvSpPr>
          <xdr:cNvPr id="118" name="TextBox 117">
            <a:extLst>
              <a:ext uri="{FF2B5EF4-FFF2-40B4-BE49-F238E27FC236}">
                <a16:creationId xmlns:a16="http://schemas.microsoft.com/office/drawing/2014/main" id="{002F6250-CCC5-FD72-3FC4-EC15DC0BEEE1}"/>
              </a:ext>
            </a:extLst>
          </xdr:cNvPr>
          <xdr:cNvSpPr txBox="1"/>
        </xdr:nvSpPr>
        <xdr:spPr>
          <a:xfrm>
            <a:off x="11572791" y="4593217"/>
            <a:ext cx="872309" cy="41159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marL="0" indent="0" algn="ctr"/>
            <a:fld id="{08DABAAA-2B9B-42E6-B97B-510F4C60CE40}" type="TxLink">
              <a:rPr lang="en-US" sz="2800" b="1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rPr>
              <a:pPr marL="0" indent="0" algn="ctr"/>
              <a:t>0</a:t>
            </a:fld>
            <a:endParaRPr lang="en-AU" sz="28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endParaRPr>
          </a:p>
        </xdr:txBody>
      </xdr:sp>
    </xdr:grpSp>
    <xdr:clientData/>
  </xdr:twoCellAnchor>
  <xdr:twoCellAnchor>
    <xdr:from>
      <xdr:col>2</xdr:col>
      <xdr:colOff>355600</xdr:colOff>
      <xdr:row>5</xdr:row>
      <xdr:rowOff>939800</xdr:rowOff>
    </xdr:from>
    <xdr:to>
      <xdr:col>3</xdr:col>
      <xdr:colOff>2668819</xdr:colOff>
      <xdr:row>12</xdr:row>
      <xdr:rowOff>222247</xdr:rowOff>
    </xdr:to>
    <xdr:grpSp>
      <xdr:nvGrpSpPr>
        <xdr:cNvPr id="119" name="Group 118">
          <a:extLst>
            <a:ext uri="{FF2B5EF4-FFF2-40B4-BE49-F238E27FC236}">
              <a16:creationId xmlns:a16="http://schemas.microsoft.com/office/drawing/2014/main" id="{0D901158-3EF1-6249-94F8-8029FFC285F5}"/>
            </a:ext>
          </a:extLst>
        </xdr:cNvPr>
        <xdr:cNvGrpSpPr/>
      </xdr:nvGrpSpPr>
      <xdr:grpSpPr>
        <a:xfrm>
          <a:off x="1143000" y="7035800"/>
          <a:ext cx="5424719" cy="2025647"/>
          <a:chOff x="1164168" y="6272568"/>
          <a:chExt cx="5556249" cy="1838113"/>
        </a:xfrm>
      </xdr:grpSpPr>
      <xdr:pic>
        <xdr:nvPicPr>
          <xdr:cNvPr id="120" name="Picture 119">
            <a:extLst>
              <a:ext uri="{FF2B5EF4-FFF2-40B4-BE49-F238E27FC236}">
                <a16:creationId xmlns:a16="http://schemas.microsoft.com/office/drawing/2014/main" id="{5D05110C-C78B-79D2-64D1-530CA7AD35D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4428"/>
          <a:stretch/>
        </xdr:blipFill>
        <xdr:spPr>
          <a:xfrm>
            <a:off x="1164168" y="6272568"/>
            <a:ext cx="5556249" cy="1838113"/>
          </a:xfrm>
          <a:prstGeom prst="rect">
            <a:avLst/>
          </a:prstGeom>
        </xdr:spPr>
      </xdr:pic>
      <xdr:sp macro="" textlink="">
        <xdr:nvSpPr>
          <xdr:cNvPr id="121" name="TextBox 120">
            <a:extLst>
              <a:ext uri="{FF2B5EF4-FFF2-40B4-BE49-F238E27FC236}">
                <a16:creationId xmlns:a16="http://schemas.microsoft.com/office/drawing/2014/main" id="{1FEEB407-052D-5B28-F72D-E7CAFA0CE51B}"/>
              </a:ext>
            </a:extLst>
          </xdr:cNvPr>
          <xdr:cNvSpPr txBox="1"/>
        </xdr:nvSpPr>
        <xdr:spPr>
          <a:xfrm rot="20758441">
            <a:off x="1688931" y="6815105"/>
            <a:ext cx="4009377" cy="7978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6600">
                <a:solidFill>
                  <a:srgbClr val="EA9191"/>
                </a:solidFill>
                <a:latin typeface="Stencil" pitchFamily="82" charset="77"/>
              </a:rPr>
              <a:t>SAMPLE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1</xdr:row>
      <xdr:rowOff>122464</xdr:rowOff>
    </xdr:from>
    <xdr:to>
      <xdr:col>4</xdr:col>
      <xdr:colOff>901699</xdr:colOff>
      <xdr:row>2</xdr:row>
      <xdr:rowOff>966107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A35630D-8208-FB47-8A0D-CEB02C9A8E22}"/>
            </a:ext>
          </a:extLst>
        </xdr:cNvPr>
        <xdr:cNvSpPr txBox="1"/>
      </xdr:nvSpPr>
      <xdr:spPr>
        <a:xfrm>
          <a:off x="844550" y="655864"/>
          <a:ext cx="7092949" cy="9706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AU" sz="7200" b="1"/>
            <a:t>Sprint Summary</a:t>
          </a:r>
        </a:p>
      </xdr:txBody>
    </xdr:sp>
    <xdr:clientData/>
  </xdr:twoCellAnchor>
  <xdr:twoCellAnchor>
    <xdr:from>
      <xdr:col>2</xdr:col>
      <xdr:colOff>1009540</xdr:colOff>
      <xdr:row>2</xdr:row>
      <xdr:rowOff>1113348</xdr:rowOff>
    </xdr:from>
    <xdr:to>
      <xdr:col>6</xdr:col>
      <xdr:colOff>12699</xdr:colOff>
      <xdr:row>2</xdr:row>
      <xdr:rowOff>1637676</xdr:rowOff>
    </xdr:to>
    <xdr:sp macro="" textlink="'Sprint Summary | data'!B5">
      <xdr:nvSpPr>
        <xdr:cNvPr id="3" name="TextBox 2">
          <a:extLst>
            <a:ext uri="{FF2B5EF4-FFF2-40B4-BE49-F238E27FC236}">
              <a16:creationId xmlns:a16="http://schemas.microsoft.com/office/drawing/2014/main" id="{F09B0D38-819F-1847-8915-7A89208E740F}"/>
            </a:ext>
          </a:extLst>
        </xdr:cNvPr>
        <xdr:cNvSpPr txBox="1"/>
      </xdr:nvSpPr>
      <xdr:spPr>
        <a:xfrm>
          <a:off x="1796940" y="1773748"/>
          <a:ext cx="10687159" cy="5243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C27AAE4-6848-F34A-B44F-24CDDF2D445C}" type="TxLink">
            <a:rPr lang="en-US" sz="3200" b="0" i="0" u="none" strike="noStrike">
              <a:solidFill>
                <a:schemeClr val="bg2">
                  <a:lumMod val="50000"/>
                </a:schemeClr>
              </a:solidFill>
              <a:latin typeface="Calibri"/>
              <a:cs typeface="Calibri"/>
            </a:rPr>
            <a:pPr/>
            <a:t>0</a:t>
          </a:fld>
          <a:endParaRPr lang="en-AU" sz="32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10</xdr:col>
      <xdr:colOff>0</xdr:colOff>
      <xdr:row>2</xdr:row>
      <xdr:rowOff>30842</xdr:rowOff>
    </xdr:from>
    <xdr:to>
      <xdr:col>13</xdr:col>
      <xdr:colOff>1816</xdr:colOff>
      <xdr:row>2</xdr:row>
      <xdr:rowOff>415017</xdr:rowOff>
    </xdr:to>
    <xdr:sp macro="" textlink="'Sprint Summary | data'!B6">
      <xdr:nvSpPr>
        <xdr:cNvPr id="4" name="TextBox 3">
          <a:extLst>
            <a:ext uri="{FF2B5EF4-FFF2-40B4-BE49-F238E27FC236}">
              <a16:creationId xmlns:a16="http://schemas.microsoft.com/office/drawing/2014/main" id="{13CBC014-38C4-0C4B-8B3D-E8AF752CDB01}"/>
            </a:ext>
          </a:extLst>
        </xdr:cNvPr>
        <xdr:cNvSpPr txBox="1"/>
      </xdr:nvSpPr>
      <xdr:spPr>
        <a:xfrm>
          <a:off x="16713200" y="691242"/>
          <a:ext cx="4218216" cy="384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B0305EC1-9F5F-4CD7-82A2-F612A2B4CAAD}" type="TxLink">
            <a:rPr lang="en-US" sz="2800" b="0" i="0" u="none" strike="noStrike">
              <a:solidFill>
                <a:schemeClr val="bg2">
                  <a:lumMod val="75000"/>
                </a:schemeClr>
              </a:solidFill>
              <a:latin typeface="Calibri"/>
              <a:cs typeface="Calibri"/>
            </a:rPr>
            <a:pPr algn="r"/>
            <a:t>0</a:t>
          </a:fld>
          <a:endParaRPr lang="en-AU" sz="2800" b="1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774700</xdr:colOff>
      <xdr:row>2</xdr:row>
      <xdr:rowOff>1293585</xdr:rowOff>
    </xdr:from>
    <xdr:to>
      <xdr:col>12</xdr:col>
      <xdr:colOff>1622425</xdr:colOff>
      <xdr:row>2</xdr:row>
      <xdr:rowOff>1674585</xdr:rowOff>
    </xdr:to>
    <xdr:sp macro="" textlink="'Sprint Summary | data'!B7">
      <xdr:nvSpPr>
        <xdr:cNvPr id="5" name="TextBox 4">
          <a:extLst>
            <a:ext uri="{FF2B5EF4-FFF2-40B4-BE49-F238E27FC236}">
              <a16:creationId xmlns:a16="http://schemas.microsoft.com/office/drawing/2014/main" id="{2B44A620-C343-1C48-A4DA-358A60EAB5F8}"/>
            </a:ext>
          </a:extLst>
        </xdr:cNvPr>
        <xdr:cNvSpPr txBox="1"/>
      </xdr:nvSpPr>
      <xdr:spPr>
        <a:xfrm>
          <a:off x="16713200" y="1953985"/>
          <a:ext cx="318452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fld id="{766B107E-1E42-4E33-A7FD-53081539D181}" type="TxLink">
            <a:rPr lang="en-US" sz="1600" b="0" i="0" u="none" strike="noStrike">
              <a:solidFill>
                <a:schemeClr val="bg2">
                  <a:lumMod val="75000"/>
                </a:schemeClr>
              </a:solidFill>
              <a:latin typeface="Calibri"/>
              <a:cs typeface="Calibri"/>
            </a:rPr>
            <a:pPr algn="r"/>
            <a:t>00/01/1900 - 00/01/1900</a:t>
          </a:fld>
          <a:endParaRPr lang="en-AU" sz="1600" b="1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67747</xdr:colOff>
      <xdr:row>3</xdr:row>
      <xdr:rowOff>66036</xdr:rowOff>
    </xdr:from>
    <xdr:to>
      <xdr:col>2</xdr:col>
      <xdr:colOff>2505811</xdr:colOff>
      <xdr:row>3</xdr:row>
      <xdr:rowOff>667925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49B7D1C1-211B-214A-82EF-893DE7640D62}"/>
            </a:ext>
          </a:extLst>
        </xdr:cNvPr>
        <xdr:cNvGrpSpPr/>
      </xdr:nvGrpSpPr>
      <xdr:grpSpPr>
        <a:xfrm>
          <a:off x="855147" y="2466336"/>
          <a:ext cx="2438064" cy="601889"/>
          <a:chOff x="1920877" y="1854200"/>
          <a:chExt cx="2470148" cy="536575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CC05704D-28C2-0E0B-0C92-F420943EB91D}"/>
              </a:ext>
            </a:extLst>
          </xdr:cNvPr>
          <xdr:cNvSpPr txBox="1"/>
        </xdr:nvSpPr>
        <xdr:spPr>
          <a:xfrm>
            <a:off x="1920877" y="1854200"/>
            <a:ext cx="2257423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 i="0" u="none" strike="noStrike">
                <a:solidFill>
                  <a:schemeClr val="tx1"/>
                </a:solidFill>
                <a:latin typeface="Calibri"/>
                <a:cs typeface="Calibri"/>
              </a:rPr>
              <a:t>Burnup</a:t>
            </a:r>
            <a:r>
              <a:rPr lang="en-US" sz="1600" b="1" i="0" u="none" strike="noStrike" baseline="0">
                <a:solidFill>
                  <a:schemeClr val="tx1"/>
                </a:solidFill>
                <a:latin typeface="Calibri"/>
                <a:cs typeface="Calibri"/>
              </a:rPr>
              <a:t> Chart</a:t>
            </a:r>
            <a:endParaRPr lang="en-US" sz="1600" b="1" i="0" u="none" strike="noStrike">
              <a:solidFill>
                <a:schemeClr val="tx1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18B0240C-5006-535C-BE44-36A38F3973A5}"/>
              </a:ext>
            </a:extLst>
          </xdr:cNvPr>
          <xdr:cNvSpPr txBox="1"/>
        </xdr:nvSpPr>
        <xdr:spPr>
          <a:xfrm>
            <a:off x="1933576" y="2101850"/>
            <a:ext cx="2457449" cy="288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1" u="none" strike="noStrike">
                <a:solidFill>
                  <a:schemeClr val="bg2">
                    <a:lumMod val="50000"/>
                  </a:schemeClr>
                </a:solidFill>
                <a:latin typeface="Calibri"/>
                <a:cs typeface="Calibri"/>
              </a:rPr>
              <a:t>sprint workload delivery</a:t>
            </a:r>
          </a:p>
        </xdr:txBody>
      </xdr:sp>
    </xdr:grpSp>
    <xdr:clientData/>
  </xdr:twoCellAnchor>
  <xdr:twoCellAnchor>
    <xdr:from>
      <xdr:col>2</xdr:col>
      <xdr:colOff>99360</xdr:colOff>
      <xdr:row>5</xdr:row>
      <xdr:rowOff>93590</xdr:rowOff>
    </xdr:from>
    <xdr:to>
      <xdr:col>2</xdr:col>
      <xdr:colOff>2791513</xdr:colOff>
      <xdr:row>5</xdr:row>
      <xdr:rowOff>669502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3A2E74B-D239-2B43-A414-5020DFC1D346}"/>
            </a:ext>
          </a:extLst>
        </xdr:cNvPr>
        <xdr:cNvGrpSpPr/>
      </xdr:nvGrpSpPr>
      <xdr:grpSpPr>
        <a:xfrm>
          <a:off x="886760" y="6189590"/>
          <a:ext cx="2692153" cy="575912"/>
          <a:chOff x="1920877" y="1854200"/>
          <a:chExt cx="2679967" cy="536575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D880D548-2C03-4BC1-CCC6-F1D48FB8E58A}"/>
              </a:ext>
            </a:extLst>
          </xdr:cNvPr>
          <xdr:cNvSpPr txBox="1"/>
        </xdr:nvSpPr>
        <xdr:spPr>
          <a:xfrm>
            <a:off x="1920877" y="1854200"/>
            <a:ext cx="2257423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 i="0" u="none" strike="noStrike">
                <a:solidFill>
                  <a:schemeClr val="tx1"/>
                </a:solidFill>
                <a:latin typeface="Calibri"/>
                <a:cs typeface="Calibri"/>
              </a:rPr>
              <a:t>Sprint</a:t>
            </a:r>
            <a:r>
              <a:rPr lang="en-US" sz="1600" b="1" i="0" u="none" strike="noStrike" baseline="0">
                <a:solidFill>
                  <a:schemeClr val="tx1"/>
                </a:solidFill>
                <a:latin typeface="Calibri"/>
                <a:cs typeface="Calibri"/>
              </a:rPr>
              <a:t> Velocity Chart</a:t>
            </a:r>
            <a:endParaRPr lang="en-US" sz="1600" b="1" i="0" u="none" strike="noStrike">
              <a:solidFill>
                <a:schemeClr val="tx1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450229E0-1A55-7549-172B-6AD2937A6A7D}"/>
              </a:ext>
            </a:extLst>
          </xdr:cNvPr>
          <xdr:cNvSpPr txBox="1"/>
        </xdr:nvSpPr>
        <xdr:spPr>
          <a:xfrm>
            <a:off x="1933576" y="2101850"/>
            <a:ext cx="2667268" cy="288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1" u="none" strike="noStrike">
                <a:solidFill>
                  <a:schemeClr val="bg2">
                    <a:lumMod val="50000"/>
                  </a:schemeClr>
                </a:solidFill>
                <a:latin typeface="Calibri"/>
                <a:cs typeface="Calibri"/>
              </a:rPr>
              <a:t>sprint on sprint performance consistency</a:t>
            </a:r>
          </a:p>
        </xdr:txBody>
      </xdr:sp>
    </xdr:grpSp>
    <xdr:clientData/>
  </xdr:twoCellAnchor>
  <xdr:twoCellAnchor>
    <xdr:from>
      <xdr:col>2</xdr:col>
      <xdr:colOff>65768</xdr:colOff>
      <xdr:row>2</xdr:row>
      <xdr:rowOff>1197060</xdr:rowOff>
    </xdr:from>
    <xdr:to>
      <xdr:col>2</xdr:col>
      <xdr:colOff>1068345</xdr:colOff>
      <xdr:row>2</xdr:row>
      <xdr:rowOff>1647370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D521F1C-085B-0247-9D28-9251708BB522}"/>
            </a:ext>
          </a:extLst>
        </xdr:cNvPr>
        <xdr:cNvSpPr txBox="1"/>
      </xdr:nvSpPr>
      <xdr:spPr>
        <a:xfrm>
          <a:off x="853168" y="1857460"/>
          <a:ext cx="1002577" cy="4503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0" i="0" u="none" strike="noStrike">
              <a:solidFill>
                <a:schemeClr val="bg2">
                  <a:lumMod val="75000"/>
                </a:schemeClr>
              </a:solidFill>
              <a:latin typeface="Calibri"/>
              <a:cs typeface="Calibri"/>
            </a:rPr>
            <a:t>squad:</a:t>
          </a:r>
        </a:p>
      </xdr:txBody>
    </xdr:sp>
    <xdr:clientData/>
  </xdr:twoCellAnchor>
  <xdr:twoCellAnchor>
    <xdr:from>
      <xdr:col>12</xdr:col>
      <xdr:colOff>126575</xdr:colOff>
      <xdr:row>9</xdr:row>
      <xdr:rowOff>10886</xdr:rowOff>
    </xdr:from>
    <xdr:to>
      <xdr:col>12</xdr:col>
      <xdr:colOff>2536372</xdr:colOff>
      <xdr:row>10</xdr:row>
      <xdr:rowOff>1449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33E8AC1-23BA-7F4D-BFE5-2B8BE8BCEE2D}"/>
            </a:ext>
          </a:extLst>
        </xdr:cNvPr>
        <xdr:cNvSpPr txBox="1"/>
      </xdr:nvSpPr>
      <xdr:spPr>
        <a:xfrm>
          <a:off x="18401875" y="8011886"/>
          <a:ext cx="2409797" cy="2699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AU" sz="1000" b="1">
              <a:solidFill>
                <a:schemeClr val="tx1"/>
              </a:solidFill>
            </a:rPr>
            <a:t>healthy performance trend</a:t>
          </a:r>
        </a:p>
      </xdr:txBody>
    </xdr:sp>
    <xdr:clientData/>
  </xdr:twoCellAnchor>
  <xdr:twoCellAnchor>
    <xdr:from>
      <xdr:col>12</xdr:col>
      <xdr:colOff>122256</xdr:colOff>
      <xdr:row>10</xdr:row>
      <xdr:rowOff>10886</xdr:rowOff>
    </xdr:from>
    <xdr:to>
      <xdr:col>12</xdr:col>
      <xdr:colOff>2008839</xdr:colOff>
      <xdr:row>10</xdr:row>
      <xdr:rowOff>275993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86D536F-E3A1-784A-A319-20ED301A023D}"/>
            </a:ext>
          </a:extLst>
        </xdr:cNvPr>
        <xdr:cNvSpPr txBox="1"/>
      </xdr:nvSpPr>
      <xdr:spPr>
        <a:xfrm>
          <a:off x="18397556" y="8291286"/>
          <a:ext cx="1886583" cy="2651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AU" sz="1000" b="1">
              <a:solidFill>
                <a:schemeClr val="tx1"/>
              </a:solidFill>
              <a:latin typeface="+mn-lt"/>
              <a:ea typeface="+mn-ea"/>
              <a:cs typeface="+mn-cs"/>
            </a:rPr>
            <a:t>achievable sprint goal</a:t>
          </a:r>
        </a:p>
      </xdr:txBody>
    </xdr:sp>
    <xdr:clientData/>
  </xdr:twoCellAnchor>
  <xdr:twoCellAnchor>
    <xdr:from>
      <xdr:col>2</xdr:col>
      <xdr:colOff>75633</xdr:colOff>
      <xdr:row>3</xdr:row>
      <xdr:rowOff>811030</xdr:rowOff>
    </xdr:from>
    <xdr:to>
      <xdr:col>3</xdr:col>
      <xdr:colOff>3058282</xdr:colOff>
      <xdr:row>4</xdr:row>
      <xdr:rowOff>1519908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D0E969A9-E15F-6343-8A46-C0625B094726}"/>
            </a:ext>
          </a:extLst>
        </xdr:cNvPr>
        <xdr:cNvGrpSpPr/>
      </xdr:nvGrpSpPr>
      <xdr:grpSpPr>
        <a:xfrm>
          <a:off x="863033" y="3211330"/>
          <a:ext cx="6094149" cy="2563078"/>
          <a:chOff x="932148" y="3160997"/>
          <a:chExt cx="6179038" cy="2168711"/>
        </a:xfrm>
      </xdr:grpSpPr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D77088D3-D720-3195-6C02-37FA620F361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32148" y="3160997"/>
            <a:ext cx="6179038" cy="2168711"/>
          </a:xfrm>
          <a:prstGeom prst="rect">
            <a:avLst/>
          </a:prstGeom>
        </xdr:spPr>
      </xdr:pic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56C33A3-2522-7315-1060-08BD889AF6BA}"/>
              </a:ext>
            </a:extLst>
          </xdr:cNvPr>
          <xdr:cNvSpPr txBox="1"/>
        </xdr:nvSpPr>
        <xdr:spPr>
          <a:xfrm rot="821982">
            <a:off x="2271839" y="3848501"/>
            <a:ext cx="3756756" cy="7978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6600">
                <a:solidFill>
                  <a:srgbClr val="EA9191"/>
                </a:solidFill>
                <a:latin typeface="Stencil" pitchFamily="82" charset="77"/>
              </a:rPr>
              <a:t>SAMPLE</a:t>
            </a:r>
          </a:p>
        </xdr:txBody>
      </xdr:sp>
    </xdr:grpSp>
    <xdr:clientData/>
  </xdr:twoCellAnchor>
  <xdr:twoCellAnchor>
    <xdr:from>
      <xdr:col>2</xdr:col>
      <xdr:colOff>359395</xdr:colOff>
      <xdr:row>5</xdr:row>
      <xdr:rowOff>939076</xdr:rowOff>
    </xdr:from>
    <xdr:to>
      <xdr:col>3</xdr:col>
      <xdr:colOff>2672614</xdr:colOff>
      <xdr:row>12</xdr:row>
      <xdr:rowOff>221523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9EF7AF87-628A-AE40-8626-1EA895F2E498}"/>
            </a:ext>
          </a:extLst>
        </xdr:cNvPr>
        <xdr:cNvGrpSpPr/>
      </xdr:nvGrpSpPr>
      <xdr:grpSpPr>
        <a:xfrm>
          <a:off x="1146795" y="7035076"/>
          <a:ext cx="5424719" cy="2025647"/>
          <a:chOff x="1164168" y="6272568"/>
          <a:chExt cx="5556249" cy="1838113"/>
        </a:xfrm>
      </xdr:grpSpPr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4C1C03C3-F88A-6DE8-8067-6808F0FA763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4428"/>
          <a:stretch/>
        </xdr:blipFill>
        <xdr:spPr>
          <a:xfrm>
            <a:off x="1164168" y="6272568"/>
            <a:ext cx="5556249" cy="1838113"/>
          </a:xfrm>
          <a:prstGeom prst="rect">
            <a:avLst/>
          </a:prstGeom>
        </xdr:spPr>
      </xdr:pic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FEB063E2-58DC-6191-DD58-971A4C348D5C}"/>
              </a:ext>
            </a:extLst>
          </xdr:cNvPr>
          <xdr:cNvSpPr txBox="1"/>
        </xdr:nvSpPr>
        <xdr:spPr>
          <a:xfrm rot="20758441">
            <a:off x="1688931" y="6815105"/>
            <a:ext cx="4009377" cy="7978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6600">
                <a:solidFill>
                  <a:srgbClr val="EA9191"/>
                </a:solidFill>
                <a:latin typeface="Stencil" pitchFamily="82" charset="77"/>
              </a:rPr>
              <a:t>SAMPLE</a:t>
            </a:r>
          </a:p>
        </xdr:txBody>
      </xdr:sp>
    </xdr:grpSp>
    <xdr:clientData/>
  </xdr:twoCellAnchor>
  <xdr:twoCellAnchor>
    <xdr:from>
      <xdr:col>2</xdr:col>
      <xdr:colOff>62659</xdr:colOff>
      <xdr:row>15</xdr:row>
      <xdr:rowOff>515258</xdr:rowOff>
    </xdr:from>
    <xdr:to>
      <xdr:col>3</xdr:col>
      <xdr:colOff>3018971</xdr:colOff>
      <xdr:row>16</xdr:row>
      <xdr:rowOff>1596573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5D4DC1AE-FFA8-BA48-A37E-5494F49D15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6956902</xdr:colOff>
      <xdr:row>20</xdr:row>
      <xdr:rowOff>134867</xdr:rowOff>
    </xdr:from>
    <xdr:to>
      <xdr:col>7</xdr:col>
      <xdr:colOff>438318</xdr:colOff>
      <xdr:row>46</xdr:row>
      <xdr:rowOff>67434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6736911-F4E0-014E-B949-91DADEE027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14</xdr:col>
      <xdr:colOff>286775</xdr:colOff>
      <xdr:row>7</xdr:row>
      <xdr:rowOff>232151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CC281B3-88FE-E041-BEF9-430AEFF13AF5}"/>
            </a:ext>
          </a:extLst>
        </xdr:cNvPr>
        <xdr:cNvSpPr txBox="1"/>
      </xdr:nvSpPr>
      <xdr:spPr>
        <a:xfrm>
          <a:off x="21381475" y="767435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  <xdr:twoCellAnchor>
    <xdr:from>
      <xdr:col>10</xdr:col>
      <xdr:colOff>81370</xdr:colOff>
      <xdr:row>3</xdr:row>
      <xdr:rowOff>89275</xdr:rowOff>
    </xdr:from>
    <xdr:to>
      <xdr:col>12</xdr:col>
      <xdr:colOff>454053</xdr:colOff>
      <xdr:row>3</xdr:row>
      <xdr:rowOff>620708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018C57AE-BEEE-1C41-B548-0207B1496AFD}"/>
            </a:ext>
          </a:extLst>
        </xdr:cNvPr>
        <xdr:cNvGrpSpPr/>
      </xdr:nvGrpSpPr>
      <xdr:grpSpPr>
        <a:xfrm>
          <a:off x="16794570" y="2489575"/>
          <a:ext cx="1934783" cy="531433"/>
          <a:chOff x="1920877" y="1854200"/>
          <a:chExt cx="1808134" cy="536575"/>
        </a:xfrm>
      </xdr:grpSpPr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8D228958-2FC3-9FBB-FF9F-D94AE0249CBB}"/>
              </a:ext>
            </a:extLst>
          </xdr:cNvPr>
          <xdr:cNvSpPr txBox="1"/>
        </xdr:nvSpPr>
        <xdr:spPr>
          <a:xfrm>
            <a:off x="1920877" y="1854200"/>
            <a:ext cx="1808134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 i="0" u="none" strike="noStrike">
                <a:solidFill>
                  <a:schemeClr val="tx1"/>
                </a:solidFill>
                <a:latin typeface="Calibri"/>
                <a:cs typeface="Calibri"/>
              </a:rPr>
              <a:t>Throughput</a:t>
            </a:r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5EE39974-A081-B76B-1335-46883FFD5271}"/>
              </a:ext>
            </a:extLst>
          </xdr:cNvPr>
          <xdr:cNvSpPr txBox="1"/>
        </xdr:nvSpPr>
        <xdr:spPr>
          <a:xfrm>
            <a:off x="1933576" y="2101850"/>
            <a:ext cx="1766119" cy="288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1" u="none" strike="noStrike">
                <a:solidFill>
                  <a:schemeClr val="bg2">
                    <a:lumMod val="50000"/>
                  </a:schemeClr>
                </a:solidFill>
                <a:latin typeface="Calibri"/>
                <a:cs typeface="Calibri"/>
              </a:rPr>
              <a:t>no. of items</a:t>
            </a:r>
          </a:p>
        </xdr:txBody>
      </xdr:sp>
    </xdr:grpSp>
    <xdr:clientData/>
  </xdr:twoCellAnchor>
  <xdr:twoCellAnchor>
    <xdr:from>
      <xdr:col>7</xdr:col>
      <xdr:colOff>348547</xdr:colOff>
      <xdr:row>3</xdr:row>
      <xdr:rowOff>90006</xdr:rowOff>
    </xdr:from>
    <xdr:to>
      <xdr:col>9</xdr:col>
      <xdr:colOff>689012</xdr:colOff>
      <xdr:row>3</xdr:row>
      <xdr:rowOff>621439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38E48C7A-D9B9-EA44-87BF-3273FFED734C}"/>
            </a:ext>
          </a:extLst>
        </xdr:cNvPr>
        <xdr:cNvGrpSpPr/>
      </xdr:nvGrpSpPr>
      <xdr:grpSpPr>
        <a:xfrm>
          <a:off x="13721647" y="2490306"/>
          <a:ext cx="2918565" cy="531433"/>
          <a:chOff x="2623745" y="1854200"/>
          <a:chExt cx="1815534" cy="536575"/>
        </a:xfrm>
      </xdr:grpSpPr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C13A8FC3-BCC8-C21E-BCFF-94C2B0479328}"/>
              </a:ext>
            </a:extLst>
          </xdr:cNvPr>
          <xdr:cNvSpPr txBox="1"/>
        </xdr:nvSpPr>
        <xdr:spPr>
          <a:xfrm>
            <a:off x="2675674" y="1854200"/>
            <a:ext cx="1763605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en-US" sz="1600" b="1" i="0" u="none" strike="noStrike">
                <a:solidFill>
                  <a:schemeClr val="tx1"/>
                </a:solidFill>
                <a:latin typeface="Calibri"/>
                <a:cs typeface="Calibri"/>
              </a:rPr>
              <a:t>Estimate</a:t>
            </a: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EBA70831-F0A1-FC0C-541F-8407D623BEE2}"/>
              </a:ext>
            </a:extLst>
          </xdr:cNvPr>
          <xdr:cNvSpPr txBox="1"/>
        </xdr:nvSpPr>
        <xdr:spPr>
          <a:xfrm>
            <a:off x="2623745" y="2101850"/>
            <a:ext cx="1767280" cy="288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en-US" sz="1100" b="0" i="1" u="none" strike="noStrike">
                <a:solidFill>
                  <a:schemeClr val="bg2">
                    <a:lumMod val="50000"/>
                  </a:schemeClr>
                </a:solidFill>
                <a:latin typeface="Calibri"/>
                <a:cs typeface="Calibri"/>
              </a:rPr>
              <a:t>story points</a:t>
            </a:r>
          </a:p>
        </xdr:txBody>
      </xdr:sp>
    </xdr:grpSp>
    <xdr:clientData/>
  </xdr:twoCellAnchor>
  <xdr:twoCellAnchor>
    <xdr:from>
      <xdr:col>5</xdr:col>
      <xdr:colOff>2644099</xdr:colOff>
      <xdr:row>3</xdr:row>
      <xdr:rowOff>817464</xdr:rowOff>
    </xdr:from>
    <xdr:to>
      <xdr:col>9</xdr:col>
      <xdr:colOff>756598</xdr:colOff>
      <xdr:row>5</xdr:row>
      <xdr:rowOff>970082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163E91BE-EC97-5B43-9D04-BF0760A4A250}"/>
            </a:ext>
          </a:extLst>
        </xdr:cNvPr>
        <xdr:cNvGrpSpPr/>
      </xdr:nvGrpSpPr>
      <xdr:grpSpPr>
        <a:xfrm>
          <a:off x="12397699" y="3217764"/>
          <a:ext cx="4310099" cy="3848318"/>
          <a:chOff x="12441033" y="3461845"/>
          <a:chExt cx="3993809" cy="4282919"/>
        </a:xfrm>
      </xdr:grpSpPr>
      <xdr:grpSp>
        <xdr:nvGrpSpPr>
          <xdr:cNvPr id="31" name="Group 30">
            <a:extLst>
              <a:ext uri="{FF2B5EF4-FFF2-40B4-BE49-F238E27FC236}">
                <a16:creationId xmlns:a16="http://schemas.microsoft.com/office/drawing/2014/main" id="{A92C2013-A510-3245-AB20-FAC727457979}"/>
              </a:ext>
            </a:extLst>
          </xdr:cNvPr>
          <xdr:cNvGrpSpPr/>
        </xdr:nvGrpSpPr>
        <xdr:grpSpPr>
          <a:xfrm>
            <a:off x="12441033" y="3461845"/>
            <a:ext cx="3993809" cy="4282919"/>
            <a:chOff x="10242572" y="2661895"/>
            <a:chExt cx="3611602" cy="4283186"/>
          </a:xfrm>
        </xdr:grpSpPr>
        <xdr:sp macro="" textlink="'Sprint Summary | data'!R19">
          <xdr:nvSpPr>
            <xdr:cNvPr id="33" name="TextBox 32">
              <a:extLst>
                <a:ext uri="{FF2B5EF4-FFF2-40B4-BE49-F238E27FC236}">
                  <a16:creationId xmlns:a16="http://schemas.microsoft.com/office/drawing/2014/main" id="{74B1A9C1-3B82-E8F9-B5E1-219FA22A5D3D}"/>
                </a:ext>
              </a:extLst>
            </xdr:cNvPr>
            <xdr:cNvSpPr txBox="1"/>
          </xdr:nvSpPr>
          <xdr:spPr>
            <a:xfrm>
              <a:off x="11225989" y="3757885"/>
              <a:ext cx="1671908" cy="396544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marL="0" indent="0" algn="ctr"/>
              <a:fld id="{2B9BAC00-E6FC-428B-84D7-74C06E98E0B6}" type="TxLink">
                <a:rPr lang="en-US" sz="4000" b="1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0</a:t>
              </a:fld>
              <a:endParaRPr lang="en-AU" sz="4000" b="1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R20">
          <xdr:nvSpPr>
            <xdr:cNvPr id="34" name="TextBox 33">
              <a:extLst>
                <a:ext uri="{FF2B5EF4-FFF2-40B4-BE49-F238E27FC236}">
                  <a16:creationId xmlns:a16="http://schemas.microsoft.com/office/drawing/2014/main" id="{6FCCCA26-D59E-A435-F4ED-8C798E921C34}"/>
                </a:ext>
              </a:extLst>
            </xdr:cNvPr>
            <xdr:cNvSpPr txBox="1"/>
          </xdr:nvSpPr>
          <xdr:spPr>
            <a:xfrm>
              <a:off x="11234026" y="4622055"/>
              <a:ext cx="1667046" cy="427908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marL="0" indent="0" algn="ctr"/>
              <a:fld id="{46E753FA-9C79-4485-8B40-AB131980EF4F}" type="TxLink">
                <a:rPr lang="en-US" sz="4000" b="1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0</a:t>
              </a:fld>
              <a:endParaRPr lang="en-AU" sz="4000" b="1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R21">
          <xdr:nvSpPr>
            <xdr:cNvPr id="35" name="TextBox 34">
              <a:extLst>
                <a:ext uri="{FF2B5EF4-FFF2-40B4-BE49-F238E27FC236}">
                  <a16:creationId xmlns:a16="http://schemas.microsoft.com/office/drawing/2014/main" id="{CEAE80FE-41C9-A745-BD4C-DC6FEDAE58C5}"/>
                </a:ext>
              </a:extLst>
            </xdr:cNvPr>
            <xdr:cNvSpPr txBox="1"/>
          </xdr:nvSpPr>
          <xdr:spPr>
            <a:xfrm>
              <a:off x="10245603" y="6005457"/>
              <a:ext cx="1205341" cy="375166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marL="0" indent="0" algn="ctr"/>
              <a:fld id="{34F87FA0-3C54-44F7-A70A-946D73CBE210}" type="TxLink">
                <a:rPr lang="en-US" sz="2800" b="0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0</a:t>
              </a:fld>
              <a:endParaRPr lang="en-AU" sz="2800" b="0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R22">
          <xdr:nvSpPr>
            <xdr:cNvPr id="36" name="TextBox 35">
              <a:extLst>
                <a:ext uri="{FF2B5EF4-FFF2-40B4-BE49-F238E27FC236}">
                  <a16:creationId xmlns:a16="http://schemas.microsoft.com/office/drawing/2014/main" id="{7D8384EC-740F-0290-9C93-6782FA54A3DE}"/>
                </a:ext>
              </a:extLst>
            </xdr:cNvPr>
            <xdr:cNvSpPr txBox="1"/>
          </xdr:nvSpPr>
          <xdr:spPr>
            <a:xfrm>
              <a:off x="11479569" y="6000972"/>
              <a:ext cx="1191902" cy="383254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marL="0" indent="0" algn="ctr"/>
              <a:fld id="{7D59C68A-89B0-F748-B43E-601993CB5D28}" type="TxLink">
                <a:rPr lang="en-US" sz="2800" b="0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0</a:t>
              </a:fld>
              <a:endParaRPr lang="en-AU" sz="2800" b="0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R23">
          <xdr:nvSpPr>
            <xdr:cNvPr id="37" name="TextBox 36">
              <a:extLst>
                <a:ext uri="{FF2B5EF4-FFF2-40B4-BE49-F238E27FC236}">
                  <a16:creationId xmlns:a16="http://schemas.microsoft.com/office/drawing/2014/main" id="{A9C7D02A-9F74-4AF0-D983-4CF56DCD5902}"/>
                </a:ext>
              </a:extLst>
            </xdr:cNvPr>
            <xdr:cNvSpPr txBox="1"/>
          </xdr:nvSpPr>
          <xdr:spPr>
            <a:xfrm>
              <a:off x="12670955" y="6020062"/>
              <a:ext cx="1159676" cy="360621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marL="0" indent="0" algn="ctr"/>
              <a:fld id="{2C6ACE09-2A82-F84E-B40C-6E0844DA0055}" type="TxLink">
                <a:rPr lang="en-US" sz="2800" b="0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0</a:t>
              </a:fld>
              <a:endParaRPr lang="en-AU" sz="2800" b="0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R18">
          <xdr:nvSpPr>
            <xdr:cNvPr id="38" name="TextBox 37">
              <a:extLst>
                <a:ext uri="{FF2B5EF4-FFF2-40B4-BE49-F238E27FC236}">
                  <a16:creationId xmlns:a16="http://schemas.microsoft.com/office/drawing/2014/main" id="{A20B3682-DD9E-9A46-C72B-1A4ABE981B78}"/>
                </a:ext>
              </a:extLst>
            </xdr:cNvPr>
            <xdr:cNvSpPr txBox="1"/>
          </xdr:nvSpPr>
          <xdr:spPr>
            <a:xfrm>
              <a:off x="12801100" y="3126034"/>
              <a:ext cx="1031820" cy="590234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indent="0" algn="ctr"/>
              <a:fld id="{9D8D4748-9746-4546-93CC-3CC40D102B7C}" type="TxLink">
                <a:rPr lang="en-US" sz="2800" b="0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0</a:t>
              </a:fld>
              <a:endParaRPr lang="en-AU" sz="2800" b="0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S21">
          <xdr:nvSpPr>
            <xdr:cNvPr id="39" name="TextBox 38">
              <a:extLst>
                <a:ext uri="{FF2B5EF4-FFF2-40B4-BE49-F238E27FC236}">
                  <a16:creationId xmlns:a16="http://schemas.microsoft.com/office/drawing/2014/main" id="{2BF17C18-A864-65C5-A83D-B4160F2C198F}"/>
                </a:ext>
              </a:extLst>
            </xdr:cNvPr>
            <xdr:cNvSpPr txBox="1"/>
          </xdr:nvSpPr>
          <xdr:spPr>
            <a:xfrm>
              <a:off x="10242572" y="6671724"/>
              <a:ext cx="1211691" cy="273357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marL="0" indent="0" algn="ctr"/>
              <a:fld id="{F14B489C-94D5-44E9-8C1B-68EC706568EE}" type="TxLink">
                <a:rPr lang="en-US" sz="18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ea typeface="+mn-ea"/>
                  <a:cs typeface="Calibri"/>
                </a:rPr>
                <a:pPr marL="0" indent="0" algn="ctr"/>
                <a:t>#DIV/0!</a:t>
              </a:fld>
              <a:endParaRPr lang="en-AU" sz="1800" b="1" i="0" u="none" strike="noStrike">
                <a:solidFill>
                  <a:schemeClr val="bg2">
                    <a:lumMod val="75000"/>
                  </a:schemeClr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S23">
          <xdr:nvSpPr>
            <xdr:cNvPr id="40" name="TextBox 39">
              <a:extLst>
                <a:ext uri="{FF2B5EF4-FFF2-40B4-BE49-F238E27FC236}">
                  <a16:creationId xmlns:a16="http://schemas.microsoft.com/office/drawing/2014/main" id="{DC35AC58-5A06-A592-B106-4049839AB3FE}"/>
                </a:ext>
              </a:extLst>
            </xdr:cNvPr>
            <xdr:cNvSpPr txBox="1"/>
          </xdr:nvSpPr>
          <xdr:spPr>
            <a:xfrm>
              <a:off x="11481631" y="6664085"/>
              <a:ext cx="1200364" cy="277844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marL="0" indent="0" algn="ctr"/>
              <a:fld id="{B635763B-5289-4CED-BD52-0B73A3BEF409}" type="TxLink">
                <a:rPr lang="en-US" sz="18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ea typeface="+mn-ea"/>
                  <a:cs typeface="Calibri"/>
                </a:rPr>
                <a:pPr marL="0" indent="0" algn="ctr"/>
                <a:t>#DIV/0!</a:t>
              </a:fld>
              <a:endParaRPr lang="en-AU" sz="1800" b="1" i="0" u="none" strike="noStrike">
                <a:solidFill>
                  <a:schemeClr val="bg2">
                    <a:lumMod val="75000"/>
                  </a:schemeClr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#REF!">
          <xdr:nvSpPr>
            <xdr:cNvPr id="41" name="TextBox 40">
              <a:extLst>
                <a:ext uri="{FF2B5EF4-FFF2-40B4-BE49-F238E27FC236}">
                  <a16:creationId xmlns:a16="http://schemas.microsoft.com/office/drawing/2014/main" id="{80DA8872-30AB-96A7-09CF-003DFFF31D10}"/>
                </a:ext>
              </a:extLst>
            </xdr:cNvPr>
            <xdr:cNvSpPr txBox="1"/>
          </xdr:nvSpPr>
          <xdr:spPr>
            <a:xfrm>
              <a:off x="12695521" y="6651149"/>
              <a:ext cx="1158653" cy="287363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marL="0" indent="0" algn="ctr"/>
              <a:fld id="{9BCF5309-F25F-44CB-AA04-9B361EB0D3DF}" type="TxLink">
                <a:rPr lang="en-US" sz="18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ea typeface="+mn-ea"/>
                  <a:cs typeface="Calibri"/>
                </a:rPr>
                <a:pPr marL="0" indent="0" algn="ctr"/>
                <a:t>0</a:t>
              </a:fld>
              <a:endParaRPr lang="en-AU" sz="1800" b="1" i="0" u="none" strike="noStrike">
                <a:solidFill>
                  <a:schemeClr val="bg2">
                    <a:lumMod val="75000"/>
                  </a:schemeClr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S18">
          <xdr:nvSpPr>
            <xdr:cNvPr id="42" name="TextBox 41">
              <a:extLst>
                <a:ext uri="{FF2B5EF4-FFF2-40B4-BE49-F238E27FC236}">
                  <a16:creationId xmlns:a16="http://schemas.microsoft.com/office/drawing/2014/main" id="{30DEFD7F-9776-1EEF-71FA-0219E304A722}"/>
                </a:ext>
              </a:extLst>
            </xdr:cNvPr>
            <xdr:cNvSpPr txBox="1"/>
          </xdr:nvSpPr>
          <xdr:spPr>
            <a:xfrm>
              <a:off x="12805034" y="2661895"/>
              <a:ext cx="1026341" cy="416145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indent="0" algn="ctr"/>
              <a:fld id="{79132F71-E5FC-46B5-8BCF-137586950ED6}" type="TxLink">
                <a:rPr lang="en-US" sz="18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ea typeface="+mn-ea"/>
                  <a:cs typeface="Calibri"/>
                </a:rPr>
                <a:pPr marL="0" indent="0" algn="ctr"/>
                <a:t>#DIV/0!</a:t>
              </a:fld>
              <a:endParaRPr lang="en-AU" sz="1800" b="1" i="0" u="none" strike="noStrike">
                <a:solidFill>
                  <a:schemeClr val="bg2">
                    <a:lumMod val="75000"/>
                  </a:schemeClr>
                </a:solidFill>
                <a:latin typeface="Calibri"/>
                <a:ea typeface="+mn-ea"/>
                <a:cs typeface="Calibri"/>
              </a:endParaRPr>
            </a:p>
          </xdr:txBody>
        </xdr:sp>
        <xdr:grpSp>
          <xdr:nvGrpSpPr>
            <xdr:cNvPr id="43" name="Group 42">
              <a:extLst>
                <a:ext uri="{FF2B5EF4-FFF2-40B4-BE49-F238E27FC236}">
                  <a16:creationId xmlns:a16="http://schemas.microsoft.com/office/drawing/2014/main" id="{E6FB428C-D97A-1382-A57E-5680B0A98808}"/>
                </a:ext>
              </a:extLst>
            </xdr:cNvPr>
            <xdr:cNvGrpSpPr/>
          </xdr:nvGrpSpPr>
          <xdr:grpSpPr>
            <a:xfrm>
              <a:off x="11223810" y="4139881"/>
              <a:ext cx="1674087" cy="467008"/>
              <a:chOff x="11060374" y="4133803"/>
              <a:chExt cx="1686398" cy="473358"/>
            </a:xfrm>
          </xdr:grpSpPr>
          <xdr:sp macro="" textlink="">
            <xdr:nvSpPr>
              <xdr:cNvPr id="55" name="Rectangle 54">
                <a:extLst>
                  <a:ext uri="{FF2B5EF4-FFF2-40B4-BE49-F238E27FC236}">
                    <a16:creationId xmlns:a16="http://schemas.microsoft.com/office/drawing/2014/main" id="{87DCD1CE-987C-FB59-AC27-1D1C7F4DC365}"/>
                  </a:ext>
                </a:extLst>
              </xdr:cNvPr>
              <xdr:cNvSpPr/>
            </xdr:nvSpPr>
            <xdr:spPr>
              <a:xfrm>
                <a:off x="11067156" y="4353856"/>
                <a:ext cx="1679171" cy="39369"/>
              </a:xfrm>
              <a:prstGeom prst="rect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AU" sz="1100"/>
              </a:p>
            </xdr:txBody>
          </xdr:sp>
          <xdr:sp macro="" textlink="">
            <xdr:nvSpPr>
              <xdr:cNvPr id="56" name="TextBox 55">
                <a:extLst>
                  <a:ext uri="{FF2B5EF4-FFF2-40B4-BE49-F238E27FC236}">
                    <a16:creationId xmlns:a16="http://schemas.microsoft.com/office/drawing/2014/main" id="{EA282070-4D91-81C9-75AE-F954E87C2A46}"/>
                  </a:ext>
                </a:extLst>
              </xdr:cNvPr>
              <xdr:cNvSpPr txBox="1"/>
            </xdr:nvSpPr>
            <xdr:spPr>
              <a:xfrm>
                <a:off x="11060374" y="4133803"/>
                <a:ext cx="1686398" cy="21608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AU" sz="1000">
                    <a:solidFill>
                      <a:schemeClr val="bg2">
                        <a:lumMod val="75000"/>
                      </a:schemeClr>
                    </a:solidFill>
                  </a:rPr>
                  <a:t>completed</a:t>
                </a:r>
              </a:p>
            </xdr:txBody>
          </xdr:sp>
          <xdr:sp macro="" textlink="">
            <xdr:nvSpPr>
              <xdr:cNvPr id="57" name="TextBox 56">
                <a:extLst>
                  <a:ext uri="{FF2B5EF4-FFF2-40B4-BE49-F238E27FC236}">
                    <a16:creationId xmlns:a16="http://schemas.microsoft.com/office/drawing/2014/main" id="{F02170AD-FD22-D8F4-D62E-E98DC482D5A3}"/>
                  </a:ext>
                </a:extLst>
              </xdr:cNvPr>
              <xdr:cNvSpPr txBox="1"/>
            </xdr:nvSpPr>
            <xdr:spPr>
              <a:xfrm>
                <a:off x="11068096" y="4397422"/>
                <a:ext cx="1676872" cy="20973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AU" sz="1000">
                    <a:solidFill>
                      <a:schemeClr val="bg2">
                        <a:lumMod val="75000"/>
                      </a:schemeClr>
                    </a:solidFill>
                  </a:rPr>
                  <a:t>planned</a:t>
                </a:r>
              </a:p>
            </xdr:txBody>
          </xdr:sp>
        </xdr:grpSp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595FF71B-8096-7873-0C98-1FDE866E3460}"/>
                </a:ext>
              </a:extLst>
            </xdr:cNvPr>
            <xdr:cNvSpPr txBox="1"/>
          </xdr:nvSpPr>
          <xdr:spPr>
            <a:xfrm>
              <a:off x="10406611" y="6268489"/>
              <a:ext cx="866442" cy="49481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000">
                  <a:solidFill>
                    <a:schemeClr val="bg2">
                      <a:lumMod val="75000"/>
                    </a:schemeClr>
                  </a:solidFill>
                </a:rPr>
                <a:t>committed at start of sprint</a:t>
              </a:r>
            </a:p>
          </xdr:txBody>
        </xdr:sp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7BDCFA3C-8A5F-F560-1169-976A751B8EF4}"/>
                </a:ext>
              </a:extLst>
            </xdr:cNvPr>
            <xdr:cNvSpPr txBox="1"/>
          </xdr:nvSpPr>
          <xdr:spPr>
            <a:xfrm>
              <a:off x="11613139" y="6273682"/>
              <a:ext cx="877549" cy="49060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000">
                  <a:solidFill>
                    <a:schemeClr val="bg2">
                      <a:lumMod val="75000"/>
                    </a:schemeClr>
                  </a:solidFill>
                </a:rPr>
                <a:t>added after sprint start</a:t>
              </a:r>
            </a:p>
          </xdr:txBody>
        </xdr:sp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5ED2D0D8-5437-DEEB-23AF-94EA67E873BB}"/>
                </a:ext>
              </a:extLst>
            </xdr:cNvPr>
            <xdr:cNvSpPr txBox="1"/>
          </xdr:nvSpPr>
          <xdr:spPr>
            <a:xfrm>
              <a:off x="12811946" y="6282235"/>
              <a:ext cx="873853" cy="48402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000">
                  <a:solidFill>
                    <a:schemeClr val="bg2">
                      <a:lumMod val="75000"/>
                    </a:schemeClr>
                  </a:solidFill>
                </a:rPr>
                <a:t>removed</a:t>
              </a:r>
              <a:br>
                <a:rPr lang="en-AU" sz="1000">
                  <a:solidFill>
                    <a:schemeClr val="bg2">
                      <a:lumMod val="75000"/>
                    </a:schemeClr>
                  </a:solidFill>
                </a:rPr>
              </a:br>
              <a:r>
                <a:rPr lang="en-AU" sz="1000">
                  <a:solidFill>
                    <a:schemeClr val="bg2">
                      <a:lumMod val="75000"/>
                    </a:schemeClr>
                  </a:solidFill>
                </a:rPr>
                <a:t>from sprint</a:t>
              </a:r>
            </a:p>
          </xdr:txBody>
        </xdr:sp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3BE524A1-0358-CFDE-A392-497FA3B5624F}"/>
                </a:ext>
              </a:extLst>
            </xdr:cNvPr>
            <xdr:cNvSpPr txBox="1"/>
          </xdr:nvSpPr>
          <xdr:spPr>
            <a:xfrm>
              <a:off x="12812927" y="2995868"/>
              <a:ext cx="1018449" cy="20063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000">
                  <a:solidFill>
                    <a:schemeClr val="bg2">
                      <a:lumMod val="75000"/>
                    </a:schemeClr>
                  </a:solidFill>
                </a:rPr>
                <a:t>no completed</a:t>
              </a:r>
            </a:p>
          </xdr:txBody>
        </xdr:sp>
        <xdr:cxnSp macro="">
          <xdr:nvCxnSpPr>
            <xdr:cNvPr id="48" name="Connector: Curved 90">
              <a:extLst>
                <a:ext uri="{FF2B5EF4-FFF2-40B4-BE49-F238E27FC236}">
                  <a16:creationId xmlns:a16="http://schemas.microsoft.com/office/drawing/2014/main" id="{292AB391-2810-10D4-A8D5-360D47D5016A}"/>
                </a:ext>
              </a:extLst>
            </xdr:cNvPr>
            <xdr:cNvCxnSpPr>
              <a:stCxn id="35" idx="0"/>
              <a:endCxn id="34" idx="2"/>
            </xdr:cNvCxnSpPr>
          </xdr:nvCxnSpPr>
          <xdr:spPr>
            <a:xfrm rot="5400000" flipH="1" flipV="1">
              <a:off x="10980164" y="4918073"/>
              <a:ext cx="955494" cy="1219276"/>
            </a:xfrm>
            <a:prstGeom prst="curvedConnector3">
              <a:avLst>
                <a:gd name="adj1" fmla="val 50000"/>
              </a:avLst>
            </a:prstGeom>
            <a:ln>
              <a:tailEnd type="non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9" name="Connector: Curved 93">
              <a:extLst>
                <a:ext uri="{FF2B5EF4-FFF2-40B4-BE49-F238E27FC236}">
                  <a16:creationId xmlns:a16="http://schemas.microsoft.com/office/drawing/2014/main" id="{8D59A35A-266C-5657-7806-5EB9F86C741F}"/>
                </a:ext>
              </a:extLst>
            </xdr:cNvPr>
            <xdr:cNvCxnSpPr>
              <a:stCxn id="36" idx="0"/>
              <a:endCxn id="34" idx="2"/>
            </xdr:cNvCxnSpPr>
          </xdr:nvCxnSpPr>
          <xdr:spPr>
            <a:xfrm rot="16200000" flipV="1">
              <a:off x="11596031" y="5521482"/>
              <a:ext cx="951009" cy="7971"/>
            </a:xfrm>
            <a:prstGeom prst="curvedConnector3">
              <a:avLst>
                <a:gd name="adj1" fmla="val 50000"/>
              </a:avLst>
            </a:prstGeom>
            <a:ln>
              <a:tailEnd type="triangle" w="lg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0" name="Connector: Curved 95">
              <a:extLst>
                <a:ext uri="{FF2B5EF4-FFF2-40B4-BE49-F238E27FC236}">
                  <a16:creationId xmlns:a16="http://schemas.microsoft.com/office/drawing/2014/main" id="{9A74B4EF-5DE6-E5FA-295D-AD1F62F57EF7}"/>
                </a:ext>
              </a:extLst>
            </xdr:cNvPr>
            <xdr:cNvCxnSpPr>
              <a:stCxn id="34" idx="2"/>
              <a:endCxn id="37" idx="0"/>
            </xdr:cNvCxnSpPr>
          </xdr:nvCxnSpPr>
          <xdr:spPr>
            <a:xfrm rot="16200000" flipH="1">
              <a:off x="12174122" y="4943390"/>
              <a:ext cx="970099" cy="1183244"/>
            </a:xfrm>
            <a:prstGeom prst="curvedConnector3">
              <a:avLst>
                <a:gd name="adj1" fmla="val 50000"/>
              </a:avLst>
            </a:prstGeom>
            <a:ln>
              <a:tailEnd type="triangle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61D452FA-DD07-13D2-52D4-B41755EF5351}"/>
                </a:ext>
              </a:extLst>
            </xdr:cNvPr>
            <xdr:cNvSpPr txBox="1"/>
          </xdr:nvSpPr>
          <xdr:spPr>
            <a:xfrm>
              <a:off x="11211647" y="5399478"/>
              <a:ext cx="229751" cy="213113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400"/>
                <a:t>+</a:t>
              </a:r>
            </a:p>
          </xdr:txBody>
        </xdr:sp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6F9B3006-A5D3-B94E-A626-934C6855B984}"/>
                </a:ext>
              </a:extLst>
            </xdr:cNvPr>
            <xdr:cNvSpPr txBox="1"/>
          </xdr:nvSpPr>
          <xdr:spPr>
            <a:xfrm>
              <a:off x="11952058" y="5500341"/>
              <a:ext cx="232926" cy="213113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400"/>
                <a:t>+</a:t>
              </a:r>
            </a:p>
          </xdr:txBody>
        </xdr:sp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F4F046F9-80F4-1348-9CDE-A24E928752CF}"/>
                </a:ext>
              </a:extLst>
            </xdr:cNvPr>
            <xdr:cNvSpPr txBox="1"/>
          </xdr:nvSpPr>
          <xdr:spPr>
            <a:xfrm>
              <a:off x="12593467" y="5410972"/>
              <a:ext cx="239276" cy="213113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400"/>
                <a:t>-</a:t>
              </a:r>
            </a:p>
          </xdr:txBody>
        </xdr:sp>
        <xdr:cxnSp macro="">
          <xdr:nvCxnSpPr>
            <xdr:cNvPr id="54" name="Connector: Curved 107">
              <a:extLst>
                <a:ext uri="{FF2B5EF4-FFF2-40B4-BE49-F238E27FC236}">
                  <a16:creationId xmlns:a16="http://schemas.microsoft.com/office/drawing/2014/main" id="{4FE718CB-7DF9-3BB5-53F1-32155866DA40}"/>
                </a:ext>
              </a:extLst>
            </xdr:cNvPr>
            <xdr:cNvCxnSpPr>
              <a:stCxn id="55" idx="3"/>
              <a:endCxn id="38" idx="2"/>
            </xdr:cNvCxnSpPr>
          </xdr:nvCxnSpPr>
          <xdr:spPr>
            <a:xfrm flipV="1">
              <a:off x="12897455" y="3716268"/>
              <a:ext cx="419555" cy="660134"/>
            </a:xfrm>
            <a:prstGeom prst="curvedConnector2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'Sprint Summary | data'!S19">
        <xdr:nvSpPr>
          <xdr:cNvPr id="32" name="TextBox 31">
            <a:extLst>
              <a:ext uri="{FF2B5EF4-FFF2-40B4-BE49-F238E27FC236}">
                <a16:creationId xmlns:a16="http://schemas.microsoft.com/office/drawing/2014/main" id="{9A2AFAD2-0F2F-BF2F-1B75-CF462301DB92}"/>
              </a:ext>
            </a:extLst>
          </xdr:cNvPr>
          <xdr:cNvSpPr txBox="1"/>
        </xdr:nvSpPr>
        <xdr:spPr>
          <a:xfrm>
            <a:off x="13517790" y="3929743"/>
            <a:ext cx="1846036" cy="41611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indent="0" algn="ctr"/>
            <a:fld id="{95357BFC-1E16-4EC4-A8FC-20AD5EA6F15F}" type="TxLink">
              <a:rPr lang="en-US" sz="1800" b="0" i="0" u="none" strike="noStrike">
                <a:solidFill>
                  <a:schemeClr val="bg2">
                    <a:lumMod val="75000"/>
                  </a:schemeClr>
                </a:solidFill>
                <a:latin typeface="Calibri"/>
                <a:ea typeface="+mn-ea"/>
                <a:cs typeface="Calibri"/>
              </a:rPr>
              <a:pPr marL="0" indent="0" algn="ctr"/>
              <a:t>#DIV/0!</a:t>
            </a:fld>
            <a:endParaRPr lang="en-AU" sz="1800" b="0" i="0" u="none" strike="noStrike">
              <a:solidFill>
                <a:schemeClr val="bg2">
                  <a:lumMod val="75000"/>
                </a:schemeClr>
              </a:solidFill>
              <a:latin typeface="Calibri"/>
              <a:ea typeface="+mn-ea"/>
              <a:cs typeface="Calibri"/>
            </a:endParaRPr>
          </a:p>
        </xdr:txBody>
      </xdr:sp>
    </xdr:grpSp>
    <xdr:clientData/>
  </xdr:twoCellAnchor>
  <xdr:twoCellAnchor>
    <xdr:from>
      <xdr:col>10</xdr:col>
      <xdr:colOff>199407</xdr:colOff>
      <xdr:row>3</xdr:row>
      <xdr:rowOff>802572</xdr:rowOff>
    </xdr:from>
    <xdr:to>
      <xdr:col>12</xdr:col>
      <xdr:colOff>2363890</xdr:colOff>
      <xdr:row>5</xdr:row>
      <xdr:rowOff>1039182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0DEF63B3-85AB-2042-B765-F5D2BFB2B51B}"/>
            </a:ext>
          </a:extLst>
        </xdr:cNvPr>
        <xdr:cNvGrpSpPr/>
      </xdr:nvGrpSpPr>
      <xdr:grpSpPr>
        <a:xfrm>
          <a:off x="16912607" y="3202872"/>
          <a:ext cx="3726583" cy="3932310"/>
          <a:chOff x="16776161" y="3461534"/>
          <a:chExt cx="3598348" cy="4370066"/>
        </a:xfrm>
      </xdr:grpSpPr>
      <xdr:grpSp>
        <xdr:nvGrpSpPr>
          <xdr:cNvPr id="59" name="Group 58">
            <a:extLst>
              <a:ext uri="{FF2B5EF4-FFF2-40B4-BE49-F238E27FC236}">
                <a16:creationId xmlns:a16="http://schemas.microsoft.com/office/drawing/2014/main" id="{7AF0F995-4CEB-9729-76C0-37527C90D9F8}"/>
              </a:ext>
            </a:extLst>
          </xdr:cNvPr>
          <xdr:cNvGrpSpPr/>
        </xdr:nvGrpSpPr>
        <xdr:grpSpPr>
          <a:xfrm>
            <a:off x="16776161" y="3461534"/>
            <a:ext cx="3598348" cy="4370066"/>
            <a:chOff x="14011982" y="2671109"/>
            <a:chExt cx="3612222" cy="4367129"/>
          </a:xfrm>
        </xdr:grpSpPr>
        <xdr:sp macro="" textlink="'Sprint Summary | data'!T19">
          <xdr:nvSpPr>
            <xdr:cNvPr id="61" name="TextBox 60">
              <a:extLst>
                <a:ext uri="{FF2B5EF4-FFF2-40B4-BE49-F238E27FC236}">
                  <a16:creationId xmlns:a16="http://schemas.microsoft.com/office/drawing/2014/main" id="{2FE9904C-EF62-3387-76B4-C31A24DD1C27}"/>
                </a:ext>
              </a:extLst>
            </xdr:cNvPr>
            <xdr:cNvSpPr txBox="1"/>
          </xdr:nvSpPr>
          <xdr:spPr>
            <a:xfrm>
              <a:off x="15002196" y="3763239"/>
              <a:ext cx="1667483" cy="399427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marL="0" indent="0" algn="ctr"/>
              <a:fld id="{3DAEFD09-2E3D-46C1-BF9B-83421A803741}" type="TxLink">
                <a:rPr lang="en-US" sz="4000" b="1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0</a:t>
              </a:fld>
              <a:endParaRPr lang="en-AU" sz="4000" b="1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T20">
          <xdr:nvSpPr>
            <xdr:cNvPr id="62" name="TextBox 61">
              <a:extLst>
                <a:ext uri="{FF2B5EF4-FFF2-40B4-BE49-F238E27FC236}">
                  <a16:creationId xmlns:a16="http://schemas.microsoft.com/office/drawing/2014/main" id="{1AB11CFC-CA32-A66E-1DD4-B99D102D8DAF}"/>
                </a:ext>
              </a:extLst>
            </xdr:cNvPr>
            <xdr:cNvSpPr txBox="1"/>
          </xdr:nvSpPr>
          <xdr:spPr>
            <a:xfrm>
              <a:off x="15013387" y="4620422"/>
              <a:ext cx="1656284" cy="463485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marL="0" indent="0" algn="ctr"/>
              <a:fld id="{B03FC1F3-7D31-413B-B04C-39439B060B24}" type="TxLink">
                <a:rPr lang="en-US" sz="4000" b="1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0</a:t>
              </a:fld>
              <a:endParaRPr lang="en-AU" sz="4000" b="1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T21">
          <xdr:nvSpPr>
            <xdr:cNvPr id="63" name="TextBox 62">
              <a:extLst>
                <a:ext uri="{FF2B5EF4-FFF2-40B4-BE49-F238E27FC236}">
                  <a16:creationId xmlns:a16="http://schemas.microsoft.com/office/drawing/2014/main" id="{0960D7D3-3411-AB7D-5C56-4382E772D6AD}"/>
                </a:ext>
              </a:extLst>
            </xdr:cNvPr>
            <xdr:cNvSpPr txBox="1"/>
          </xdr:nvSpPr>
          <xdr:spPr>
            <a:xfrm>
              <a:off x="14015005" y="5904593"/>
              <a:ext cx="1211676" cy="588956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indent="0" algn="ctr"/>
              <a:fld id="{1330039E-B881-47E2-8367-193E0BFD7874}" type="TxLink">
                <a:rPr lang="en-US" sz="2800" b="0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0</a:t>
              </a:fld>
              <a:endParaRPr lang="en-AU" sz="2800" b="0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T22">
          <xdr:nvSpPr>
            <xdr:cNvPr id="64" name="TextBox 63">
              <a:extLst>
                <a:ext uri="{FF2B5EF4-FFF2-40B4-BE49-F238E27FC236}">
                  <a16:creationId xmlns:a16="http://schemas.microsoft.com/office/drawing/2014/main" id="{D017696F-C661-D88D-F380-86B88648F789}"/>
                </a:ext>
              </a:extLst>
            </xdr:cNvPr>
            <xdr:cNvSpPr txBox="1"/>
          </xdr:nvSpPr>
          <xdr:spPr>
            <a:xfrm>
              <a:off x="15245705" y="5919162"/>
              <a:ext cx="1198273" cy="589336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indent="0" algn="ctr"/>
              <a:fld id="{D12BBEA6-9179-7943-B327-AEB365E0EA5C}" type="TxLink">
                <a:rPr lang="en-US" sz="2800" b="0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0</a:t>
              </a:fld>
              <a:endParaRPr lang="en-AU" sz="2800" b="0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T23">
          <xdr:nvSpPr>
            <xdr:cNvPr id="65" name="TextBox 64">
              <a:extLst>
                <a:ext uri="{FF2B5EF4-FFF2-40B4-BE49-F238E27FC236}">
                  <a16:creationId xmlns:a16="http://schemas.microsoft.com/office/drawing/2014/main" id="{89ED9394-331A-C70B-D76A-4D8BE375FE98}"/>
                </a:ext>
              </a:extLst>
            </xdr:cNvPr>
            <xdr:cNvSpPr txBox="1"/>
          </xdr:nvSpPr>
          <xdr:spPr>
            <a:xfrm>
              <a:off x="16440288" y="5922612"/>
              <a:ext cx="1156607" cy="589336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indent="0" algn="ctr"/>
              <a:fld id="{DA8D4262-FA89-AC41-B211-D75B251186AC}" type="TxLink">
                <a:rPr lang="en-US" sz="2800" b="0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0</a:t>
              </a:fld>
              <a:endParaRPr lang="en-AU" sz="2800" b="0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T18">
          <xdr:nvSpPr>
            <xdr:cNvPr id="66" name="TextBox 65">
              <a:extLst>
                <a:ext uri="{FF2B5EF4-FFF2-40B4-BE49-F238E27FC236}">
                  <a16:creationId xmlns:a16="http://schemas.microsoft.com/office/drawing/2014/main" id="{8FA1671B-5335-0881-EBD9-515FBC8657FA}"/>
                </a:ext>
              </a:extLst>
            </xdr:cNvPr>
            <xdr:cNvSpPr txBox="1"/>
          </xdr:nvSpPr>
          <xdr:spPr>
            <a:xfrm>
              <a:off x="16595115" y="3135248"/>
              <a:ext cx="1029089" cy="588956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indent="0" algn="ctr"/>
              <a:fld id="{FA7713C0-E3D3-4482-8807-A28C5B292BE7}" type="TxLink">
                <a:rPr lang="en-US" sz="2800" b="0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0</a:t>
              </a:fld>
              <a:endParaRPr lang="en-AU" sz="2800" b="0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U21">
          <xdr:nvSpPr>
            <xdr:cNvPr id="67" name="TextBox 66">
              <a:extLst>
                <a:ext uri="{FF2B5EF4-FFF2-40B4-BE49-F238E27FC236}">
                  <a16:creationId xmlns:a16="http://schemas.microsoft.com/office/drawing/2014/main" id="{1A4EDFBA-5B91-2762-0DF3-F5AC168AEB67}"/>
                </a:ext>
              </a:extLst>
            </xdr:cNvPr>
            <xdr:cNvSpPr txBox="1"/>
          </xdr:nvSpPr>
          <xdr:spPr>
            <a:xfrm>
              <a:off x="14011982" y="6622075"/>
              <a:ext cx="1205309" cy="415244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indent="0" algn="ctr"/>
              <a:fld id="{E64CB1AF-34CE-42C2-98CC-9B324952E164}" type="TxLink">
                <a:rPr lang="en-US" sz="18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ea typeface="+mn-ea"/>
                  <a:cs typeface="Calibri"/>
                </a:rPr>
                <a:pPr marL="0" indent="0" algn="ctr"/>
                <a:t>#DIV/0!</a:t>
              </a:fld>
              <a:endParaRPr lang="en-AU" sz="1800" b="0" i="0" u="none" strike="noStrike">
                <a:solidFill>
                  <a:schemeClr val="bg2">
                    <a:lumMod val="75000"/>
                  </a:schemeClr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U23">
          <xdr:nvSpPr>
            <xdr:cNvPr id="68" name="TextBox 67">
              <a:extLst>
                <a:ext uri="{FF2B5EF4-FFF2-40B4-BE49-F238E27FC236}">
                  <a16:creationId xmlns:a16="http://schemas.microsoft.com/office/drawing/2014/main" id="{5DD09473-CE42-C621-974C-DE1F35A9F922}"/>
                </a:ext>
              </a:extLst>
            </xdr:cNvPr>
            <xdr:cNvSpPr txBox="1"/>
          </xdr:nvSpPr>
          <xdr:spPr>
            <a:xfrm>
              <a:off x="15245874" y="6614203"/>
              <a:ext cx="1188731" cy="415244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indent="0" algn="ctr"/>
              <a:fld id="{60994E2B-485B-44AA-8226-6FB46995DEFB}" type="TxLink">
                <a:rPr lang="en-US" sz="18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ea typeface="+mn-ea"/>
                  <a:cs typeface="Calibri"/>
                </a:rPr>
                <a:pPr marL="0" indent="0" algn="ctr"/>
                <a:t>#DIV/0!</a:t>
              </a:fld>
              <a:endParaRPr lang="en-AU" sz="1800" b="0" i="0" u="none" strike="noStrike">
                <a:solidFill>
                  <a:schemeClr val="bg2">
                    <a:lumMod val="75000"/>
                  </a:schemeClr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#REF!">
          <xdr:nvSpPr>
            <xdr:cNvPr id="69" name="TextBox 68">
              <a:extLst>
                <a:ext uri="{FF2B5EF4-FFF2-40B4-BE49-F238E27FC236}">
                  <a16:creationId xmlns:a16="http://schemas.microsoft.com/office/drawing/2014/main" id="{BE84E4A6-CB02-05D5-DB35-5B3E4BC6FEBB}"/>
                </a:ext>
              </a:extLst>
            </xdr:cNvPr>
            <xdr:cNvSpPr txBox="1"/>
          </xdr:nvSpPr>
          <xdr:spPr>
            <a:xfrm>
              <a:off x="16457690" y="6622994"/>
              <a:ext cx="1143907" cy="415244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indent="0" algn="ctr"/>
              <a:fld id="{442E9114-807C-4528-96FE-2674012CDE39}" type="TxLink">
                <a:rPr lang="en-US" sz="18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ea typeface="+mn-ea"/>
                  <a:cs typeface="Calibri"/>
                </a:rPr>
                <a:pPr marL="0" indent="0" algn="ctr"/>
                <a:t>0</a:t>
              </a:fld>
              <a:endParaRPr lang="en-AU" sz="1800" b="0" i="0" u="none" strike="noStrike">
                <a:solidFill>
                  <a:schemeClr val="bg2">
                    <a:lumMod val="75000"/>
                  </a:schemeClr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'Sprint Summary | data'!U18">
          <xdr:nvSpPr>
            <xdr:cNvPr id="70" name="TextBox 69">
              <a:extLst>
                <a:ext uri="{FF2B5EF4-FFF2-40B4-BE49-F238E27FC236}">
                  <a16:creationId xmlns:a16="http://schemas.microsoft.com/office/drawing/2014/main" id="{84AE241D-57C9-DF07-7C2C-F40755EA7022}"/>
                </a:ext>
              </a:extLst>
            </xdr:cNvPr>
            <xdr:cNvSpPr txBox="1"/>
          </xdr:nvSpPr>
          <xdr:spPr>
            <a:xfrm>
              <a:off x="16592689" y="2671109"/>
              <a:ext cx="1029975" cy="415244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indent="0" algn="ctr"/>
              <a:fld id="{7EA71C29-20B0-42DA-A65B-C284B3CFB61C}" type="TxLink">
                <a:rPr lang="en-US" sz="1800" b="0" i="0" u="none" strike="noStrike">
                  <a:solidFill>
                    <a:schemeClr val="bg2">
                      <a:lumMod val="75000"/>
                    </a:schemeClr>
                  </a:solidFill>
                  <a:latin typeface="Calibri"/>
                  <a:ea typeface="+mn-ea"/>
                  <a:cs typeface="Calibri"/>
                </a:rPr>
                <a:pPr marL="0" indent="0" algn="ctr"/>
                <a:t>#DIV/0!</a:t>
              </a:fld>
              <a:endParaRPr lang="en-AU" sz="1800" b="0" i="0" u="none" strike="noStrike">
                <a:solidFill>
                  <a:schemeClr val="bg2">
                    <a:lumMod val="75000"/>
                  </a:schemeClr>
                </a:solidFill>
                <a:latin typeface="Calibri"/>
                <a:ea typeface="+mn-ea"/>
                <a:cs typeface="Calibri"/>
              </a:endParaRPr>
            </a:p>
          </xdr:txBody>
        </xdr:sp>
        <xdr:grpSp>
          <xdr:nvGrpSpPr>
            <xdr:cNvPr id="71" name="Group 70">
              <a:extLst>
                <a:ext uri="{FF2B5EF4-FFF2-40B4-BE49-F238E27FC236}">
                  <a16:creationId xmlns:a16="http://schemas.microsoft.com/office/drawing/2014/main" id="{FBFEFBEF-6469-C39C-C82D-61B0F57C8AE6}"/>
                </a:ext>
              </a:extLst>
            </xdr:cNvPr>
            <xdr:cNvGrpSpPr/>
          </xdr:nvGrpSpPr>
          <xdr:grpSpPr>
            <a:xfrm>
              <a:off x="14993673" y="4144953"/>
              <a:ext cx="1679182" cy="469839"/>
              <a:chOff x="11060374" y="4133803"/>
              <a:chExt cx="1686398" cy="473358"/>
            </a:xfrm>
          </xdr:grpSpPr>
          <xdr:sp macro="" textlink="">
            <xdr:nvSpPr>
              <xdr:cNvPr id="83" name="Rectangle 82">
                <a:extLst>
                  <a:ext uri="{FF2B5EF4-FFF2-40B4-BE49-F238E27FC236}">
                    <a16:creationId xmlns:a16="http://schemas.microsoft.com/office/drawing/2014/main" id="{2435CA2F-12C6-D10C-C9FD-2EA22534D8C9}"/>
                  </a:ext>
                </a:extLst>
              </xdr:cNvPr>
              <xdr:cNvSpPr/>
            </xdr:nvSpPr>
            <xdr:spPr>
              <a:xfrm>
                <a:off x="11067156" y="4353856"/>
                <a:ext cx="1679171" cy="39369"/>
              </a:xfrm>
              <a:prstGeom prst="rect">
                <a:avLst/>
              </a:prstGeom>
            </xdr:spPr>
            <xdr:style>
              <a:lnRef idx="2">
                <a:schemeClr val="dk1">
                  <a:shade val="15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AU" sz="1100"/>
              </a:p>
            </xdr:txBody>
          </xdr:sp>
          <xdr:sp macro="" textlink="">
            <xdr:nvSpPr>
              <xdr:cNvPr id="84" name="TextBox 83">
                <a:extLst>
                  <a:ext uri="{FF2B5EF4-FFF2-40B4-BE49-F238E27FC236}">
                    <a16:creationId xmlns:a16="http://schemas.microsoft.com/office/drawing/2014/main" id="{533822A3-DC51-6C80-B797-9A76923A362F}"/>
                  </a:ext>
                </a:extLst>
              </xdr:cNvPr>
              <xdr:cNvSpPr txBox="1"/>
            </xdr:nvSpPr>
            <xdr:spPr>
              <a:xfrm>
                <a:off x="11060374" y="4133803"/>
                <a:ext cx="1686398" cy="21608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AU" sz="1000">
                    <a:solidFill>
                      <a:schemeClr val="bg2">
                        <a:lumMod val="75000"/>
                      </a:schemeClr>
                    </a:solidFill>
                  </a:rPr>
                  <a:t>completed</a:t>
                </a:r>
              </a:p>
            </xdr:txBody>
          </xdr:sp>
          <xdr:sp macro="" textlink="">
            <xdr:nvSpPr>
              <xdr:cNvPr id="85" name="TextBox 84">
                <a:extLst>
                  <a:ext uri="{FF2B5EF4-FFF2-40B4-BE49-F238E27FC236}">
                    <a16:creationId xmlns:a16="http://schemas.microsoft.com/office/drawing/2014/main" id="{7E367EE9-0381-AF29-BF54-D87F14492E88}"/>
                  </a:ext>
                </a:extLst>
              </xdr:cNvPr>
              <xdr:cNvSpPr txBox="1"/>
            </xdr:nvSpPr>
            <xdr:spPr>
              <a:xfrm>
                <a:off x="11068096" y="4397422"/>
                <a:ext cx="1676872" cy="20973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AU" sz="1000">
                    <a:solidFill>
                      <a:schemeClr val="bg2">
                        <a:lumMod val="75000"/>
                      </a:schemeClr>
                    </a:solidFill>
                  </a:rPr>
                  <a:t>planned</a:t>
                </a:r>
              </a:p>
            </xdr:txBody>
          </xdr:sp>
        </xdr:grpSp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0ADB10D0-E779-D9C7-AE77-A25A06C27973}"/>
                </a:ext>
              </a:extLst>
            </xdr:cNvPr>
            <xdr:cNvSpPr txBox="1"/>
          </xdr:nvSpPr>
          <xdr:spPr>
            <a:xfrm>
              <a:off x="14111670" y="6275895"/>
              <a:ext cx="956561" cy="46374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000">
                  <a:solidFill>
                    <a:schemeClr val="bg2">
                      <a:lumMod val="75000"/>
                    </a:schemeClr>
                  </a:solidFill>
                </a:rPr>
                <a:t>committed at start of sprint</a:t>
              </a:r>
            </a:p>
          </xdr:txBody>
        </xdr:sp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BAE1C3D3-0D3C-F8BE-7C18-5C7B7DB30444}"/>
                </a:ext>
              </a:extLst>
            </xdr:cNvPr>
            <xdr:cNvSpPr txBox="1"/>
          </xdr:nvSpPr>
          <xdr:spPr>
            <a:xfrm>
              <a:off x="15407416" y="6272895"/>
              <a:ext cx="872052" cy="46773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000">
                  <a:solidFill>
                    <a:schemeClr val="bg2">
                      <a:lumMod val="75000"/>
                    </a:schemeClr>
                  </a:solidFill>
                </a:rPr>
                <a:t>added after sprint start</a:t>
              </a:r>
            </a:p>
          </xdr:txBody>
        </xdr:sp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4160F867-23DF-E4B7-299D-5A640CB00799}"/>
                </a:ext>
              </a:extLst>
            </xdr:cNvPr>
            <xdr:cNvSpPr txBox="1"/>
          </xdr:nvSpPr>
          <xdr:spPr>
            <a:xfrm>
              <a:off x="16599875" y="6285067"/>
              <a:ext cx="877890" cy="45752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000">
                  <a:solidFill>
                    <a:schemeClr val="bg2">
                      <a:lumMod val="75000"/>
                    </a:schemeClr>
                  </a:solidFill>
                </a:rPr>
                <a:t>removed</a:t>
              </a:r>
              <a:br>
                <a:rPr lang="en-AU" sz="1000">
                  <a:solidFill>
                    <a:schemeClr val="bg2">
                      <a:lumMod val="75000"/>
                    </a:schemeClr>
                  </a:solidFill>
                </a:rPr>
              </a:br>
              <a:r>
                <a:rPr lang="en-AU" sz="1000">
                  <a:solidFill>
                    <a:schemeClr val="bg2">
                      <a:lumMod val="75000"/>
                    </a:schemeClr>
                  </a:solidFill>
                </a:rPr>
                <a:t>from sprint</a:t>
              </a:r>
            </a:p>
          </xdr:txBody>
        </xdr:sp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021F3A69-D8CD-551A-7A7F-EDC36B1F8507}"/>
                </a:ext>
              </a:extLst>
            </xdr:cNvPr>
            <xdr:cNvSpPr txBox="1"/>
          </xdr:nvSpPr>
          <xdr:spPr>
            <a:xfrm>
              <a:off x="16594211" y="3011184"/>
              <a:ext cx="1018929" cy="19413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000">
                  <a:solidFill>
                    <a:schemeClr val="bg2">
                      <a:lumMod val="75000"/>
                    </a:schemeClr>
                  </a:solidFill>
                </a:rPr>
                <a:t>no completed</a:t>
              </a:r>
            </a:p>
          </xdr:txBody>
        </xdr:sp>
        <xdr:cxnSp macro="">
          <xdr:nvCxnSpPr>
            <xdr:cNvPr id="76" name="Connector: Curved 132">
              <a:extLst>
                <a:ext uri="{FF2B5EF4-FFF2-40B4-BE49-F238E27FC236}">
                  <a16:creationId xmlns:a16="http://schemas.microsoft.com/office/drawing/2014/main" id="{42C5CD93-B60A-AFEB-F25F-C7B1AFC15AC2}"/>
                </a:ext>
              </a:extLst>
            </xdr:cNvPr>
            <xdr:cNvCxnSpPr>
              <a:stCxn id="63" idx="0"/>
              <a:endCxn id="62" idx="2"/>
            </xdr:cNvCxnSpPr>
          </xdr:nvCxnSpPr>
          <xdr:spPr>
            <a:xfrm rot="5400000" flipH="1" flipV="1">
              <a:off x="14820844" y="4883908"/>
              <a:ext cx="820686" cy="1220686"/>
            </a:xfrm>
            <a:prstGeom prst="curvedConnector3">
              <a:avLst>
                <a:gd name="adj1" fmla="val 50000"/>
              </a:avLst>
            </a:prstGeom>
            <a:ln>
              <a:tailEnd type="none" w="lg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7" name="Connector: Curved 133">
              <a:extLst>
                <a:ext uri="{FF2B5EF4-FFF2-40B4-BE49-F238E27FC236}">
                  <a16:creationId xmlns:a16="http://schemas.microsoft.com/office/drawing/2014/main" id="{E6739EB1-D295-396A-AE99-57FD124262CD}"/>
                </a:ext>
              </a:extLst>
            </xdr:cNvPr>
            <xdr:cNvCxnSpPr>
              <a:stCxn id="64" idx="0"/>
              <a:endCxn id="62" idx="2"/>
            </xdr:cNvCxnSpPr>
          </xdr:nvCxnSpPr>
          <xdr:spPr>
            <a:xfrm rot="16200000" flipV="1">
              <a:off x="15425559" y="5499879"/>
              <a:ext cx="835254" cy="3312"/>
            </a:xfrm>
            <a:prstGeom prst="curvedConnector3">
              <a:avLst>
                <a:gd name="adj1" fmla="val 50000"/>
              </a:avLst>
            </a:prstGeom>
            <a:ln>
              <a:tailEnd type="triangle" w="lg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8" name="Connector: Curved 134">
              <a:extLst>
                <a:ext uri="{FF2B5EF4-FFF2-40B4-BE49-F238E27FC236}">
                  <a16:creationId xmlns:a16="http://schemas.microsoft.com/office/drawing/2014/main" id="{4D75AB14-93FE-3932-4EDF-98356580A436}"/>
                </a:ext>
              </a:extLst>
            </xdr:cNvPr>
            <xdr:cNvCxnSpPr>
              <a:stCxn id="62" idx="2"/>
              <a:endCxn id="65" idx="0"/>
            </xdr:cNvCxnSpPr>
          </xdr:nvCxnSpPr>
          <xdr:spPr>
            <a:xfrm rot="16200000" flipH="1">
              <a:off x="16010709" y="4914728"/>
              <a:ext cx="838705" cy="1177063"/>
            </a:xfrm>
            <a:prstGeom prst="curvedConnector3">
              <a:avLst>
                <a:gd name="adj1" fmla="val 50000"/>
              </a:avLst>
            </a:prstGeom>
            <a:ln>
              <a:tailEnd type="triangle" w="med" len="med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EBBA9846-5B85-D311-ED37-30038E89D83C}"/>
                </a:ext>
              </a:extLst>
            </xdr:cNvPr>
            <xdr:cNvSpPr txBox="1"/>
          </xdr:nvSpPr>
          <xdr:spPr>
            <a:xfrm>
              <a:off x="14997168" y="5409847"/>
              <a:ext cx="229143" cy="21295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400"/>
                <a:t>+</a:t>
              </a:r>
            </a:p>
          </xdr:txBody>
        </xdr:sp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0F2A85B9-A8A8-9857-85BA-F47EFE95CFC3}"/>
                </a:ext>
              </a:extLst>
            </xdr:cNvPr>
            <xdr:cNvSpPr txBox="1"/>
          </xdr:nvSpPr>
          <xdr:spPr>
            <a:xfrm>
              <a:off x="15735745" y="5504405"/>
              <a:ext cx="229135" cy="21295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400"/>
                <a:t>+</a:t>
              </a:r>
            </a:p>
          </xdr:txBody>
        </xdr:sp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E9206A73-BE9C-2185-8CBE-11E4826A9A8E}"/>
                </a:ext>
              </a:extLst>
            </xdr:cNvPr>
            <xdr:cNvSpPr txBox="1"/>
          </xdr:nvSpPr>
          <xdr:spPr>
            <a:xfrm>
              <a:off x="16381681" y="5424508"/>
              <a:ext cx="232293" cy="206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1400"/>
                <a:t>-</a:t>
              </a:r>
            </a:p>
          </xdr:txBody>
        </xdr:sp>
        <xdr:cxnSp macro="">
          <xdr:nvCxnSpPr>
            <xdr:cNvPr id="82" name="Connector: Curved 138">
              <a:extLst>
                <a:ext uri="{FF2B5EF4-FFF2-40B4-BE49-F238E27FC236}">
                  <a16:creationId xmlns:a16="http://schemas.microsoft.com/office/drawing/2014/main" id="{303EF72D-A149-1FF2-7601-7405DAA31C63}"/>
                </a:ext>
              </a:extLst>
            </xdr:cNvPr>
            <xdr:cNvCxnSpPr>
              <a:stCxn id="83" idx="3"/>
              <a:endCxn id="66" idx="2"/>
            </xdr:cNvCxnSpPr>
          </xdr:nvCxnSpPr>
          <xdr:spPr>
            <a:xfrm flipV="1">
              <a:off x="16672412" y="3724203"/>
              <a:ext cx="437248" cy="658705"/>
            </a:xfrm>
            <a:prstGeom prst="curvedConnector2">
              <a:avLst/>
            </a:prstGeom>
            <a:ln>
              <a:tailEnd type="triangle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'Sprint Summary | data'!U19">
        <xdr:nvSpPr>
          <xdr:cNvPr id="60" name="TextBox 59">
            <a:extLst>
              <a:ext uri="{FF2B5EF4-FFF2-40B4-BE49-F238E27FC236}">
                <a16:creationId xmlns:a16="http://schemas.microsoft.com/office/drawing/2014/main" id="{0995DD59-3817-DF5F-14B5-C01E822A1065}"/>
              </a:ext>
            </a:extLst>
          </xdr:cNvPr>
          <xdr:cNvSpPr txBox="1"/>
        </xdr:nvSpPr>
        <xdr:spPr>
          <a:xfrm>
            <a:off x="17765486" y="3954688"/>
            <a:ext cx="1656896" cy="415523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indent="0" algn="ctr"/>
            <a:fld id="{137F6DCA-D03A-4BD1-81FE-2A5383C62E25}" type="TxLink">
              <a:rPr lang="en-US" sz="1800" b="0" i="0" u="none" strike="noStrike">
                <a:solidFill>
                  <a:schemeClr val="bg2">
                    <a:lumMod val="75000"/>
                  </a:schemeClr>
                </a:solidFill>
                <a:latin typeface="Calibri"/>
                <a:ea typeface="+mn-ea"/>
                <a:cs typeface="Calibri"/>
              </a:rPr>
              <a:pPr marL="0" indent="0" algn="ctr"/>
              <a:t>#DIV/0!</a:t>
            </a:fld>
            <a:endParaRPr lang="en-AU" sz="1800" b="0" i="0" u="none" strike="noStrike">
              <a:solidFill>
                <a:schemeClr val="bg2">
                  <a:lumMod val="75000"/>
                </a:schemeClr>
              </a:solidFill>
              <a:latin typeface="Calibri"/>
              <a:ea typeface="+mn-ea"/>
              <a:cs typeface="Calibri"/>
            </a:endParaRPr>
          </a:p>
        </xdr:txBody>
      </xdr:sp>
    </xdr:grpSp>
    <xdr:clientData/>
  </xdr:twoCellAnchor>
  <xdr:twoCellAnchor>
    <xdr:from>
      <xdr:col>5</xdr:col>
      <xdr:colOff>102746</xdr:colOff>
      <xdr:row>3</xdr:row>
      <xdr:rowOff>114710</xdr:rowOff>
    </xdr:from>
    <xdr:to>
      <xdr:col>6</xdr:col>
      <xdr:colOff>76346</xdr:colOff>
      <xdr:row>3</xdr:row>
      <xdr:rowOff>651285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742B736B-8D41-9341-A824-11E8A2DB5C52}"/>
            </a:ext>
          </a:extLst>
        </xdr:cNvPr>
        <xdr:cNvGrpSpPr/>
      </xdr:nvGrpSpPr>
      <xdr:grpSpPr>
        <a:xfrm>
          <a:off x="9856346" y="2515010"/>
          <a:ext cx="2691400" cy="536575"/>
          <a:chOff x="1920877" y="1854200"/>
          <a:chExt cx="2470148" cy="536575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67F0D1A8-8D8F-F1ED-8E19-C55B2AF2DDE7}"/>
              </a:ext>
            </a:extLst>
          </xdr:cNvPr>
          <xdr:cNvSpPr txBox="1"/>
        </xdr:nvSpPr>
        <xdr:spPr>
          <a:xfrm>
            <a:off x="1920877" y="1854200"/>
            <a:ext cx="2257423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 i="0" u="none" strike="noStrike">
                <a:solidFill>
                  <a:schemeClr val="tx1"/>
                </a:solidFill>
                <a:latin typeface="Calibri"/>
                <a:cs typeface="Calibri"/>
              </a:rPr>
              <a:t>Capacity Guide</a:t>
            </a:r>
          </a:p>
        </xdr:txBody>
      </xdr:sp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141DDF62-2B2F-5A42-2F45-2CCED467F1A2}"/>
              </a:ext>
            </a:extLst>
          </xdr:cNvPr>
          <xdr:cNvSpPr txBox="1"/>
        </xdr:nvSpPr>
        <xdr:spPr>
          <a:xfrm>
            <a:off x="1933576" y="2101850"/>
            <a:ext cx="2457449" cy="288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1" u="none" strike="noStrike">
                <a:solidFill>
                  <a:schemeClr val="bg2">
                    <a:lumMod val="50000"/>
                  </a:schemeClr>
                </a:solidFill>
                <a:latin typeface="Calibri"/>
                <a:cs typeface="Calibri"/>
              </a:rPr>
              <a:t>calculated trend vs squad availability</a:t>
            </a:r>
          </a:p>
        </xdr:txBody>
      </xdr:sp>
    </xdr:grpSp>
    <xdr:clientData/>
  </xdr:twoCellAnchor>
  <xdr:twoCellAnchor>
    <xdr:from>
      <xdr:col>4</xdr:col>
      <xdr:colOff>92915</xdr:colOff>
      <xdr:row>3</xdr:row>
      <xdr:rowOff>104386</xdr:rowOff>
    </xdr:from>
    <xdr:to>
      <xdr:col>4</xdr:col>
      <xdr:colOff>2496387</xdr:colOff>
      <xdr:row>3</xdr:row>
      <xdr:rowOff>640961</xdr:rowOff>
    </xdr:to>
    <xdr:grpSp>
      <xdr:nvGrpSpPr>
        <xdr:cNvPr id="89" name="Group 88">
          <a:extLst>
            <a:ext uri="{FF2B5EF4-FFF2-40B4-BE49-F238E27FC236}">
              <a16:creationId xmlns:a16="http://schemas.microsoft.com/office/drawing/2014/main" id="{EF4AB5CE-86C4-694A-8F29-FB70999ECA7A}"/>
            </a:ext>
          </a:extLst>
        </xdr:cNvPr>
        <xdr:cNvGrpSpPr/>
      </xdr:nvGrpSpPr>
      <xdr:grpSpPr>
        <a:xfrm>
          <a:off x="7128715" y="2504686"/>
          <a:ext cx="2403472" cy="536575"/>
          <a:chOff x="1920877" y="1854200"/>
          <a:chExt cx="2394604" cy="536575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1FA5F7EC-1E06-2AB0-824C-1567D6E7DCAB}"/>
              </a:ext>
            </a:extLst>
          </xdr:cNvPr>
          <xdr:cNvSpPr txBox="1"/>
        </xdr:nvSpPr>
        <xdr:spPr>
          <a:xfrm>
            <a:off x="1920877" y="1854200"/>
            <a:ext cx="2257423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 i="0" u="none" strike="noStrike">
                <a:solidFill>
                  <a:schemeClr val="tx1"/>
                </a:solidFill>
                <a:latin typeface="Calibri"/>
                <a:cs typeface="Calibri"/>
              </a:rPr>
              <a:t>Unestimated Work</a:t>
            </a:r>
          </a:p>
        </xdr:txBody>
      </xdr:sp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053BB46B-D94D-CFC8-5A3B-A42B46C24168}"/>
              </a:ext>
            </a:extLst>
          </xdr:cNvPr>
          <xdr:cNvSpPr txBox="1"/>
        </xdr:nvSpPr>
        <xdr:spPr>
          <a:xfrm>
            <a:off x="1933575" y="2101850"/>
            <a:ext cx="2381906" cy="288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1" u="none" strike="noStrike">
                <a:solidFill>
                  <a:schemeClr val="bg2">
                    <a:lumMod val="50000"/>
                  </a:schemeClr>
                </a:solidFill>
                <a:latin typeface="Calibri"/>
                <a:cs typeface="Calibri"/>
              </a:rPr>
              <a:t>percentage of unestimated work items</a:t>
            </a:r>
          </a:p>
        </xdr:txBody>
      </xdr:sp>
    </xdr:grpSp>
    <xdr:clientData/>
  </xdr:twoCellAnchor>
  <xdr:twoCellAnchor>
    <xdr:from>
      <xdr:col>4</xdr:col>
      <xdr:colOff>474899</xdr:colOff>
      <xdr:row>3</xdr:row>
      <xdr:rowOff>1467094</xdr:rowOff>
    </xdr:from>
    <xdr:to>
      <xdr:col>4</xdr:col>
      <xdr:colOff>1862374</xdr:colOff>
      <xdr:row>4</xdr:row>
      <xdr:rowOff>452813</xdr:rowOff>
    </xdr:to>
    <xdr:sp macro="" textlink="'Sprint Summary | data'!J50">
      <xdr:nvSpPr>
        <xdr:cNvPr id="92" name="TextBox 91">
          <a:extLst>
            <a:ext uri="{FF2B5EF4-FFF2-40B4-BE49-F238E27FC236}">
              <a16:creationId xmlns:a16="http://schemas.microsoft.com/office/drawing/2014/main" id="{7952DA84-F3EC-3941-BB1E-69699FCE2715}"/>
            </a:ext>
          </a:extLst>
        </xdr:cNvPr>
        <xdr:cNvSpPr txBox="1"/>
      </xdr:nvSpPr>
      <xdr:spPr>
        <a:xfrm>
          <a:off x="7510699" y="3867394"/>
          <a:ext cx="1387475" cy="83991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l"/>
          <a:fld id="{341120F6-609F-4ECE-B583-DE8602FD3FB6}" type="TxLink">
            <a:rPr lang="en-US" sz="48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l"/>
            <a:t>0</a:t>
          </a:fld>
          <a:endParaRPr lang="en-AU" sz="48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2224816</xdr:colOff>
      <xdr:row>4</xdr:row>
      <xdr:rowOff>1049904</xdr:rowOff>
    </xdr:from>
    <xdr:to>
      <xdr:col>5</xdr:col>
      <xdr:colOff>61600</xdr:colOff>
      <xdr:row>4</xdr:row>
      <xdr:rowOff>1422596</xdr:rowOff>
    </xdr:to>
    <xdr:sp macro="" textlink="'Sprint Summary | data'!J52">
      <xdr:nvSpPr>
        <xdr:cNvPr id="93" name="TextBox 92">
          <a:extLst>
            <a:ext uri="{FF2B5EF4-FFF2-40B4-BE49-F238E27FC236}">
              <a16:creationId xmlns:a16="http://schemas.microsoft.com/office/drawing/2014/main" id="{5D6FF560-09A9-3549-9F79-971778C526AD}"/>
            </a:ext>
          </a:extLst>
        </xdr:cNvPr>
        <xdr:cNvSpPr txBox="1"/>
      </xdr:nvSpPr>
      <xdr:spPr>
        <a:xfrm>
          <a:off x="9260616" y="5304404"/>
          <a:ext cx="554584" cy="37269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l"/>
          <a:fld id="{2DC1FD1F-8D8E-B54C-8098-EB3496C8F04D}" type="TxLink">
            <a:rPr lang="en-US" sz="2000" b="0" i="0" u="none" strike="noStrike">
              <a:solidFill>
                <a:schemeClr val="bg2">
                  <a:lumMod val="75000"/>
                </a:schemeClr>
              </a:solidFill>
              <a:latin typeface="Calibri"/>
              <a:ea typeface="+mn-ea"/>
              <a:cs typeface="Calibri"/>
            </a:rPr>
            <a:pPr marL="0" indent="0" algn="l"/>
            <a:t>0</a:t>
          </a:fld>
          <a:endParaRPr lang="en-AU" sz="2000" b="0" i="0" u="none" strike="noStrike">
            <a:solidFill>
              <a:schemeClr val="bg2">
                <a:lumMod val="75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1307886</xdr:colOff>
      <xdr:row>4</xdr:row>
      <xdr:rowOff>1041730</xdr:rowOff>
    </xdr:from>
    <xdr:to>
      <xdr:col>4</xdr:col>
      <xdr:colOff>2324416</xdr:colOff>
      <xdr:row>4</xdr:row>
      <xdr:rowOff>1405127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C4AF3CDF-9C7B-BF46-9BFE-8424613128E3}"/>
            </a:ext>
          </a:extLst>
        </xdr:cNvPr>
        <xdr:cNvSpPr txBox="1"/>
      </xdr:nvSpPr>
      <xdr:spPr>
        <a:xfrm>
          <a:off x="8343686" y="5296230"/>
          <a:ext cx="1016530" cy="3633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AU" sz="800">
              <a:solidFill>
                <a:schemeClr val="bg2">
                  <a:lumMod val="75000"/>
                </a:schemeClr>
              </a:solidFill>
            </a:rPr>
            <a:t>total</a:t>
          </a:r>
          <a:r>
            <a:rPr lang="en-AU" sz="800" baseline="0">
              <a:solidFill>
                <a:schemeClr val="bg2">
                  <a:lumMod val="75000"/>
                </a:schemeClr>
              </a:solidFill>
            </a:rPr>
            <a:t> </a:t>
          </a:r>
          <a:r>
            <a:rPr lang="en-AU" sz="800">
              <a:solidFill>
                <a:schemeClr val="bg2">
                  <a:lumMod val="75000"/>
                </a:schemeClr>
              </a:solidFill>
            </a:rPr>
            <a:t>work</a:t>
          </a:r>
          <a:endParaRPr lang="en-AU" sz="800" baseline="0">
            <a:solidFill>
              <a:schemeClr val="bg2">
                <a:lumMod val="75000"/>
              </a:schemeClr>
            </a:solidFill>
          </a:endParaRPr>
        </a:p>
        <a:p>
          <a:pPr algn="r"/>
          <a:r>
            <a:rPr lang="en-AU" sz="800" baseline="0">
              <a:solidFill>
                <a:schemeClr val="bg2">
                  <a:lumMod val="75000"/>
                </a:schemeClr>
              </a:solidFill>
            </a:rPr>
            <a:t>items unestimated</a:t>
          </a:r>
          <a:endParaRPr lang="en-AU" sz="800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>
    <xdr:from>
      <xdr:col>4</xdr:col>
      <xdr:colOff>2226404</xdr:colOff>
      <xdr:row>4</xdr:row>
      <xdr:rowOff>1427679</xdr:rowOff>
    </xdr:from>
    <xdr:to>
      <xdr:col>5</xdr:col>
      <xdr:colOff>63188</xdr:colOff>
      <xdr:row>4</xdr:row>
      <xdr:rowOff>1800371</xdr:rowOff>
    </xdr:to>
    <xdr:sp macro="" textlink="'Sprint Summary | data'!J53">
      <xdr:nvSpPr>
        <xdr:cNvPr id="95" name="TextBox 94">
          <a:extLst>
            <a:ext uri="{FF2B5EF4-FFF2-40B4-BE49-F238E27FC236}">
              <a16:creationId xmlns:a16="http://schemas.microsoft.com/office/drawing/2014/main" id="{F9931BD4-61B9-5546-9653-5272A03549C5}"/>
            </a:ext>
          </a:extLst>
        </xdr:cNvPr>
        <xdr:cNvSpPr txBox="1"/>
      </xdr:nvSpPr>
      <xdr:spPr>
        <a:xfrm>
          <a:off x="9262204" y="5682179"/>
          <a:ext cx="554584" cy="37269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l"/>
          <a:fld id="{252A89CD-F399-4E3C-9004-9802174D53B9}" type="TxLink">
            <a:rPr lang="en-US" sz="2000" b="0" i="0" u="none" strike="noStrike">
              <a:solidFill>
                <a:schemeClr val="bg2">
                  <a:lumMod val="75000"/>
                </a:schemeClr>
              </a:solidFill>
              <a:latin typeface="Calibri"/>
              <a:ea typeface="+mn-ea"/>
              <a:cs typeface="Calibri"/>
            </a:rPr>
            <a:pPr marL="0" indent="0" algn="l"/>
            <a:t>0</a:t>
          </a:fld>
          <a:endParaRPr lang="en-AU" sz="2000" b="0" i="0" u="none" strike="noStrike">
            <a:solidFill>
              <a:schemeClr val="bg2">
                <a:lumMod val="75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4</xdr:col>
      <xdr:colOff>1246915</xdr:colOff>
      <xdr:row>4</xdr:row>
      <xdr:rowOff>1390769</xdr:rowOff>
    </xdr:from>
    <xdr:to>
      <xdr:col>4</xdr:col>
      <xdr:colOff>2332502</xdr:colOff>
      <xdr:row>4</xdr:row>
      <xdr:rowOff>1826358</xdr:rowOff>
    </xdr:to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166CB437-F790-8048-A343-5B99A33EE664}"/>
            </a:ext>
          </a:extLst>
        </xdr:cNvPr>
        <xdr:cNvSpPr txBox="1"/>
      </xdr:nvSpPr>
      <xdr:spPr>
        <a:xfrm>
          <a:off x="8282715" y="5645269"/>
          <a:ext cx="1085587" cy="4355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AU" sz="800">
              <a:solidFill>
                <a:schemeClr val="bg2">
                  <a:lumMod val="75000"/>
                </a:schemeClr>
              </a:solidFill>
            </a:rPr>
            <a:t>total</a:t>
          </a:r>
          <a:r>
            <a:rPr lang="en-AU" sz="800" baseline="0">
              <a:solidFill>
                <a:schemeClr val="bg2">
                  <a:lumMod val="75000"/>
                </a:schemeClr>
              </a:solidFill>
            </a:rPr>
            <a:t> </a:t>
          </a:r>
          <a:r>
            <a:rPr lang="en-AU" sz="800">
              <a:solidFill>
                <a:schemeClr val="bg2">
                  <a:lumMod val="75000"/>
                </a:schemeClr>
              </a:solidFill>
            </a:rPr>
            <a:t>work</a:t>
          </a:r>
          <a:endParaRPr lang="en-AU" sz="800" baseline="0">
            <a:solidFill>
              <a:schemeClr val="bg2">
                <a:lumMod val="75000"/>
              </a:schemeClr>
            </a:solidFill>
          </a:endParaRPr>
        </a:p>
        <a:p>
          <a:pPr algn="r"/>
          <a:r>
            <a:rPr lang="en-AU" sz="800" baseline="0">
              <a:solidFill>
                <a:schemeClr val="bg2">
                  <a:lumMod val="75000"/>
                </a:schemeClr>
              </a:solidFill>
            </a:rPr>
            <a:t>items planned</a:t>
          </a:r>
          <a:endParaRPr lang="en-AU" sz="800">
            <a:solidFill>
              <a:schemeClr val="bg2">
                <a:lumMod val="75000"/>
              </a:schemeClr>
            </a:solidFill>
          </a:endParaRPr>
        </a:p>
      </xdr:txBody>
    </xdr:sp>
    <xdr:clientData/>
  </xdr:twoCellAnchor>
  <xdr:twoCellAnchor>
    <xdr:from>
      <xdr:col>4</xdr:col>
      <xdr:colOff>159536</xdr:colOff>
      <xdr:row>5</xdr:row>
      <xdr:rowOff>326697</xdr:rowOff>
    </xdr:from>
    <xdr:to>
      <xdr:col>5</xdr:col>
      <xdr:colOff>2377927</xdr:colOff>
      <xdr:row>15</xdr:row>
      <xdr:rowOff>188905</xdr:rowOff>
    </xdr:to>
    <xdr:grpSp>
      <xdr:nvGrpSpPr>
        <xdr:cNvPr id="97" name="Group 96">
          <a:extLst>
            <a:ext uri="{FF2B5EF4-FFF2-40B4-BE49-F238E27FC236}">
              <a16:creationId xmlns:a16="http://schemas.microsoft.com/office/drawing/2014/main" id="{5D2FD05F-EECE-0C4C-91A6-4D244CFA7A4E}"/>
            </a:ext>
          </a:extLst>
        </xdr:cNvPr>
        <xdr:cNvGrpSpPr/>
      </xdr:nvGrpSpPr>
      <xdr:grpSpPr>
        <a:xfrm>
          <a:off x="7195336" y="6422697"/>
          <a:ext cx="4936191" cy="3342008"/>
          <a:chOff x="900706" y="5293038"/>
          <a:chExt cx="4942746" cy="3405917"/>
        </a:xfrm>
      </xdr:grpSpPr>
      <xdr:graphicFrame macro="">
        <xdr:nvGraphicFramePr>
          <xdr:cNvPr id="98" name="Chart 97">
            <a:extLst>
              <a:ext uri="{FF2B5EF4-FFF2-40B4-BE49-F238E27FC236}">
                <a16:creationId xmlns:a16="http://schemas.microsoft.com/office/drawing/2014/main" id="{E935A8CE-C8D8-AFD6-C861-ED449236464D}"/>
              </a:ext>
            </a:extLst>
          </xdr:cNvPr>
          <xdr:cNvGraphicFramePr>
            <a:graphicFrameLocks/>
          </xdr:cNvGraphicFramePr>
        </xdr:nvGraphicFramePr>
        <xdr:xfrm>
          <a:off x="1202704" y="5293038"/>
          <a:ext cx="4606519" cy="225107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99" name="Chart 98">
            <a:extLst>
              <a:ext uri="{FF2B5EF4-FFF2-40B4-BE49-F238E27FC236}">
                <a16:creationId xmlns:a16="http://schemas.microsoft.com/office/drawing/2014/main" id="{AB71E4AB-6538-7C7A-6C12-4A86B75536DB}"/>
              </a:ext>
            </a:extLst>
          </xdr:cNvPr>
          <xdr:cNvGraphicFramePr>
            <a:graphicFrameLocks/>
          </xdr:cNvGraphicFramePr>
        </xdr:nvGraphicFramePr>
        <xdr:xfrm>
          <a:off x="949869" y="7206735"/>
          <a:ext cx="4893583" cy="14922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100" name="Rectangle 99">
            <a:extLst>
              <a:ext uri="{FF2B5EF4-FFF2-40B4-BE49-F238E27FC236}">
                <a16:creationId xmlns:a16="http://schemas.microsoft.com/office/drawing/2014/main" id="{13466D9D-3860-8AE4-B89A-25AA0F738F57}"/>
              </a:ext>
            </a:extLst>
          </xdr:cNvPr>
          <xdr:cNvSpPr/>
        </xdr:nvSpPr>
        <xdr:spPr>
          <a:xfrm>
            <a:off x="900706" y="5799776"/>
            <a:ext cx="593587" cy="1228587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graphicFrame macro="">
        <xdr:nvGraphicFramePr>
          <xdr:cNvPr id="101" name="Chart 100">
            <a:extLst>
              <a:ext uri="{FF2B5EF4-FFF2-40B4-BE49-F238E27FC236}">
                <a16:creationId xmlns:a16="http://schemas.microsoft.com/office/drawing/2014/main" id="{1C3C5B7E-05E7-8EBA-4415-A92960698725}"/>
              </a:ext>
            </a:extLst>
          </xdr:cNvPr>
          <xdr:cNvGraphicFramePr>
            <a:graphicFrameLocks/>
          </xdr:cNvGraphicFramePr>
        </xdr:nvGraphicFramePr>
        <xdr:xfrm>
          <a:off x="949869" y="6419337"/>
          <a:ext cx="4893583" cy="99694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  <xdr:twoCellAnchor>
    <xdr:from>
      <xdr:col>4</xdr:col>
      <xdr:colOff>133227</xdr:colOff>
      <xdr:row>5</xdr:row>
      <xdr:rowOff>92915</xdr:rowOff>
    </xdr:from>
    <xdr:to>
      <xdr:col>4</xdr:col>
      <xdr:colOff>2600200</xdr:colOff>
      <xdr:row>5</xdr:row>
      <xdr:rowOff>629490</xdr:rowOff>
    </xdr:to>
    <xdr:grpSp>
      <xdr:nvGrpSpPr>
        <xdr:cNvPr id="102" name="Group 101">
          <a:extLst>
            <a:ext uri="{FF2B5EF4-FFF2-40B4-BE49-F238E27FC236}">
              <a16:creationId xmlns:a16="http://schemas.microsoft.com/office/drawing/2014/main" id="{534CA176-5CDC-7247-AC0E-750CF451EBD7}"/>
            </a:ext>
          </a:extLst>
        </xdr:cNvPr>
        <xdr:cNvGrpSpPr/>
      </xdr:nvGrpSpPr>
      <xdr:grpSpPr>
        <a:xfrm>
          <a:off x="7169027" y="6188915"/>
          <a:ext cx="2466973" cy="536575"/>
          <a:chOff x="1920877" y="1854200"/>
          <a:chExt cx="2470148" cy="536575"/>
        </a:xfrm>
      </xdr:grpSpPr>
      <xdr:sp macro="" textlink="">
        <xdr:nvSpPr>
          <xdr:cNvPr id="103" name="TextBox 102">
            <a:extLst>
              <a:ext uri="{FF2B5EF4-FFF2-40B4-BE49-F238E27FC236}">
                <a16:creationId xmlns:a16="http://schemas.microsoft.com/office/drawing/2014/main" id="{3F1A1576-CEB0-91A9-256E-A7044A82659A}"/>
              </a:ext>
            </a:extLst>
          </xdr:cNvPr>
          <xdr:cNvSpPr txBox="1"/>
        </xdr:nvSpPr>
        <xdr:spPr>
          <a:xfrm>
            <a:off x="1920877" y="1854200"/>
            <a:ext cx="2257423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 i="0" u="none" strike="noStrike">
                <a:solidFill>
                  <a:schemeClr val="tx1"/>
                </a:solidFill>
                <a:latin typeface="Calibri"/>
                <a:cs typeface="Calibri"/>
              </a:rPr>
              <a:t>Sprint Completion</a:t>
            </a:r>
          </a:p>
        </xdr:txBody>
      </xdr:sp>
      <xdr:sp macro="" textlink="">
        <xdr:nvSpPr>
          <xdr:cNvPr id="104" name="TextBox 103">
            <a:extLst>
              <a:ext uri="{FF2B5EF4-FFF2-40B4-BE49-F238E27FC236}">
                <a16:creationId xmlns:a16="http://schemas.microsoft.com/office/drawing/2014/main" id="{A2E1ECC2-DB89-0B22-F7E1-F37F3694306F}"/>
              </a:ext>
            </a:extLst>
          </xdr:cNvPr>
          <xdr:cNvSpPr txBox="1"/>
        </xdr:nvSpPr>
        <xdr:spPr>
          <a:xfrm>
            <a:off x="1933576" y="2101850"/>
            <a:ext cx="2457449" cy="288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1" u="none" strike="noStrike">
                <a:solidFill>
                  <a:schemeClr val="bg2">
                    <a:lumMod val="50000"/>
                  </a:schemeClr>
                </a:solidFill>
                <a:latin typeface="Calibri"/>
                <a:cs typeface="Calibri"/>
              </a:rPr>
              <a:t>story</a:t>
            </a:r>
            <a:r>
              <a:rPr lang="en-US" sz="1100" b="0" i="1" u="none" strike="noStrike" baseline="0">
                <a:solidFill>
                  <a:schemeClr val="bg2">
                    <a:lumMod val="50000"/>
                  </a:schemeClr>
                </a:solidFill>
                <a:latin typeface="Calibri"/>
                <a:cs typeface="Calibri"/>
              </a:rPr>
              <a:t> points delivered</a:t>
            </a:r>
            <a:endParaRPr lang="en-US" sz="1100" b="0" i="1" u="none" strike="noStrike">
              <a:solidFill>
                <a:schemeClr val="bg2">
                  <a:lumMod val="50000"/>
                </a:schemeClr>
              </a:solidFill>
              <a:latin typeface="Calibri"/>
              <a:cs typeface="Calibri"/>
            </a:endParaRPr>
          </a:p>
        </xdr:txBody>
      </xdr:sp>
    </xdr:grpSp>
    <xdr:clientData/>
  </xdr:twoCellAnchor>
  <xdr:twoCellAnchor>
    <xdr:from>
      <xdr:col>2</xdr:col>
      <xdr:colOff>95104</xdr:colOff>
      <xdr:row>15</xdr:row>
      <xdr:rowOff>86407</xdr:rowOff>
    </xdr:from>
    <xdr:to>
      <xdr:col>3</xdr:col>
      <xdr:colOff>304798</xdr:colOff>
      <xdr:row>15</xdr:row>
      <xdr:rowOff>851617</xdr:rowOff>
    </xdr:to>
    <xdr:grpSp>
      <xdr:nvGrpSpPr>
        <xdr:cNvPr id="105" name="Group 104">
          <a:extLst>
            <a:ext uri="{FF2B5EF4-FFF2-40B4-BE49-F238E27FC236}">
              <a16:creationId xmlns:a16="http://schemas.microsoft.com/office/drawing/2014/main" id="{40A37F61-0F7A-A34A-9C66-E911462CA486}"/>
            </a:ext>
          </a:extLst>
        </xdr:cNvPr>
        <xdr:cNvGrpSpPr/>
      </xdr:nvGrpSpPr>
      <xdr:grpSpPr>
        <a:xfrm>
          <a:off x="882504" y="9662207"/>
          <a:ext cx="3321194" cy="765210"/>
          <a:chOff x="1920876" y="1854200"/>
          <a:chExt cx="3319649" cy="433685"/>
        </a:xfrm>
      </xdr:grpSpPr>
      <xdr:sp macro="" textlink="">
        <xdr:nvSpPr>
          <xdr:cNvPr id="106" name="TextBox 105">
            <a:extLst>
              <a:ext uri="{FF2B5EF4-FFF2-40B4-BE49-F238E27FC236}">
                <a16:creationId xmlns:a16="http://schemas.microsoft.com/office/drawing/2014/main" id="{914B40AF-FF24-85CE-0F42-B4F4834098FD}"/>
              </a:ext>
            </a:extLst>
          </xdr:cNvPr>
          <xdr:cNvSpPr txBox="1"/>
        </xdr:nvSpPr>
        <xdr:spPr>
          <a:xfrm>
            <a:off x="1933575" y="1998960"/>
            <a:ext cx="3306950" cy="288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1" u="none" strike="noStrike">
                <a:solidFill>
                  <a:schemeClr val="bg2">
                    <a:lumMod val="50000"/>
                  </a:schemeClr>
                </a:solidFill>
                <a:latin typeface="Calibri"/>
                <a:cs typeface="Calibri"/>
              </a:rPr>
              <a:t>where the effort was focused (completed points)</a:t>
            </a:r>
          </a:p>
        </xdr:txBody>
      </xdr:sp>
      <xdr:sp macro="" textlink="">
        <xdr:nvSpPr>
          <xdr:cNvPr id="107" name="TextBox 106">
            <a:extLst>
              <a:ext uri="{FF2B5EF4-FFF2-40B4-BE49-F238E27FC236}">
                <a16:creationId xmlns:a16="http://schemas.microsoft.com/office/drawing/2014/main" id="{AE879AC8-BCAD-21DA-DC34-58B2222A77BB}"/>
              </a:ext>
            </a:extLst>
          </xdr:cNvPr>
          <xdr:cNvSpPr txBox="1"/>
        </xdr:nvSpPr>
        <xdr:spPr>
          <a:xfrm>
            <a:off x="1920876" y="1854200"/>
            <a:ext cx="3238163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 i="0" u="none" strike="noStrike">
                <a:solidFill>
                  <a:schemeClr val="tx1"/>
                </a:solidFill>
                <a:latin typeface="Calibri"/>
                <a:cs typeface="Calibri"/>
              </a:rPr>
              <a:t>Delivery Allocation</a:t>
            </a:r>
            <a:r>
              <a:rPr lang="en-US" sz="1600" b="1" i="0" u="none" strike="noStrike" baseline="0">
                <a:solidFill>
                  <a:schemeClr val="tx1"/>
                </a:solidFill>
                <a:latin typeface="Calibri"/>
                <a:cs typeface="Calibri"/>
              </a:rPr>
              <a:t> | epics</a:t>
            </a:r>
            <a:endParaRPr lang="en-US" sz="1600" b="1" i="0" u="none" strike="noStrike">
              <a:solidFill>
                <a:schemeClr val="tx1"/>
              </a:solidFill>
              <a:latin typeface="Calibri"/>
              <a:cs typeface="Calibri"/>
            </a:endParaRPr>
          </a:p>
        </xdr:txBody>
      </xdr:sp>
    </xdr:grpSp>
    <xdr:clientData/>
  </xdr:twoCellAnchor>
  <xdr:twoCellAnchor>
    <xdr:from>
      <xdr:col>4</xdr:col>
      <xdr:colOff>1559692</xdr:colOff>
      <xdr:row>3</xdr:row>
      <xdr:rowOff>1477254</xdr:rowOff>
    </xdr:from>
    <xdr:to>
      <xdr:col>4</xdr:col>
      <xdr:colOff>2445314</xdr:colOff>
      <xdr:row>4</xdr:row>
      <xdr:rowOff>462973</xdr:rowOff>
    </xdr:to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9A80CF5F-9DA5-5947-A101-404E77ACCF04}"/>
            </a:ext>
          </a:extLst>
        </xdr:cNvPr>
        <xdr:cNvSpPr txBox="1"/>
      </xdr:nvSpPr>
      <xdr:spPr>
        <a:xfrm>
          <a:off x="8595492" y="3877554"/>
          <a:ext cx="885622" cy="83991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l"/>
          <a:r>
            <a:rPr lang="en-US" sz="48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t>%</a:t>
          </a:r>
        </a:p>
      </xdr:txBody>
    </xdr:sp>
    <xdr:clientData/>
  </xdr:twoCellAnchor>
  <xdr:twoCellAnchor>
    <xdr:from>
      <xdr:col>4</xdr:col>
      <xdr:colOff>2074502</xdr:colOff>
      <xdr:row>3</xdr:row>
      <xdr:rowOff>1551466</xdr:rowOff>
    </xdr:from>
    <xdr:to>
      <xdr:col>8</xdr:col>
      <xdr:colOff>253009</xdr:colOff>
      <xdr:row>5</xdr:row>
      <xdr:rowOff>920877</xdr:rowOff>
    </xdr:to>
    <xdr:grpSp>
      <xdr:nvGrpSpPr>
        <xdr:cNvPr id="109" name="Group 108">
          <a:extLst>
            <a:ext uri="{FF2B5EF4-FFF2-40B4-BE49-F238E27FC236}">
              <a16:creationId xmlns:a16="http://schemas.microsoft.com/office/drawing/2014/main" id="{1BC51D5C-ABF0-3A42-846F-390882330691}"/>
            </a:ext>
          </a:extLst>
        </xdr:cNvPr>
        <xdr:cNvGrpSpPr/>
      </xdr:nvGrpSpPr>
      <xdr:grpSpPr>
        <a:xfrm>
          <a:off x="9110302" y="3951766"/>
          <a:ext cx="6319207" cy="3065111"/>
          <a:chOff x="9118769" y="3955999"/>
          <a:chExt cx="6323440" cy="3069345"/>
        </a:xfrm>
      </xdr:grpSpPr>
      <xdr:sp macro="" textlink="">
        <xdr:nvSpPr>
          <xdr:cNvPr id="110" name="Oval 109">
            <a:extLst>
              <a:ext uri="{FF2B5EF4-FFF2-40B4-BE49-F238E27FC236}">
                <a16:creationId xmlns:a16="http://schemas.microsoft.com/office/drawing/2014/main" id="{5D586DE4-D9AB-DACF-C7A4-2220AAAFB9EA}"/>
              </a:ext>
            </a:extLst>
          </xdr:cNvPr>
          <xdr:cNvSpPr/>
        </xdr:nvSpPr>
        <xdr:spPr>
          <a:xfrm>
            <a:off x="13713085" y="3955999"/>
            <a:ext cx="1729124" cy="867913"/>
          </a:xfrm>
          <a:prstGeom prst="ellipse">
            <a:avLst/>
          </a:prstGeom>
          <a:noFill/>
          <a:ln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1" name="Freeform 110">
            <a:extLst>
              <a:ext uri="{FF2B5EF4-FFF2-40B4-BE49-F238E27FC236}">
                <a16:creationId xmlns:a16="http://schemas.microsoft.com/office/drawing/2014/main" id="{71E00CD2-9739-7065-F8B8-59FFC582F574}"/>
              </a:ext>
            </a:extLst>
          </xdr:cNvPr>
          <xdr:cNvSpPr/>
        </xdr:nvSpPr>
        <xdr:spPr>
          <a:xfrm>
            <a:off x="9118769" y="4410526"/>
            <a:ext cx="4605698" cy="2614818"/>
          </a:xfrm>
          <a:custGeom>
            <a:avLst/>
            <a:gdLst>
              <a:gd name="connsiteX0" fmla="*/ 4746056 w 4746056"/>
              <a:gd name="connsiteY0" fmla="*/ 0 h 2494462"/>
              <a:gd name="connsiteX1" fmla="*/ 4401992 w 4746056"/>
              <a:gd name="connsiteY1" fmla="*/ 131553 h 2494462"/>
              <a:gd name="connsiteX2" fmla="*/ 3521594 w 4746056"/>
              <a:gd name="connsiteY2" fmla="*/ 344063 h 2494462"/>
              <a:gd name="connsiteX3" fmla="*/ 2575419 w 4746056"/>
              <a:gd name="connsiteY3" fmla="*/ 1356015 h 2494462"/>
              <a:gd name="connsiteX4" fmla="*/ 622351 w 4746056"/>
              <a:gd name="connsiteY4" fmla="*/ 2054262 h 2494462"/>
              <a:gd name="connsiteX5" fmla="*/ 0 w 4746056"/>
              <a:gd name="connsiteY5" fmla="*/ 2494462 h 249446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4746056" h="2494462">
                <a:moveTo>
                  <a:pt x="4746056" y="0"/>
                </a:moveTo>
                <a:cubicBezTo>
                  <a:pt x="4676062" y="37104"/>
                  <a:pt x="4606069" y="74209"/>
                  <a:pt x="4401992" y="131553"/>
                </a:cubicBezTo>
                <a:cubicBezTo>
                  <a:pt x="4197915" y="188897"/>
                  <a:pt x="3826023" y="139986"/>
                  <a:pt x="3521594" y="344063"/>
                </a:cubicBezTo>
                <a:cubicBezTo>
                  <a:pt x="3217165" y="548140"/>
                  <a:pt x="3058626" y="1070982"/>
                  <a:pt x="2575419" y="1356015"/>
                </a:cubicBezTo>
                <a:cubicBezTo>
                  <a:pt x="2092212" y="1641048"/>
                  <a:pt x="1051587" y="1864521"/>
                  <a:pt x="622351" y="2054262"/>
                </a:cubicBezTo>
                <a:cubicBezTo>
                  <a:pt x="193114" y="2244003"/>
                  <a:pt x="96557" y="2369232"/>
                  <a:pt x="0" y="2494462"/>
                </a:cubicBezTo>
              </a:path>
            </a:pathLst>
          </a:custGeom>
          <a:noFill/>
          <a:ln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12" name="Oval 111">
            <a:extLst>
              <a:ext uri="{FF2B5EF4-FFF2-40B4-BE49-F238E27FC236}">
                <a16:creationId xmlns:a16="http://schemas.microsoft.com/office/drawing/2014/main" id="{85ADF14B-3567-1D40-D793-EE6D33CD1AA4}"/>
              </a:ext>
            </a:extLst>
          </xdr:cNvPr>
          <xdr:cNvSpPr/>
        </xdr:nvSpPr>
        <xdr:spPr>
          <a:xfrm>
            <a:off x="11467318" y="4581398"/>
            <a:ext cx="1090229" cy="471751"/>
          </a:xfrm>
          <a:prstGeom prst="ellipse">
            <a:avLst/>
          </a:prstGeom>
          <a:solidFill>
            <a:schemeClr val="bg1"/>
          </a:solidFill>
          <a:ln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5</xdr:col>
      <xdr:colOff>367632</xdr:colOff>
      <xdr:row>3</xdr:row>
      <xdr:rowOff>1446109</xdr:rowOff>
    </xdr:from>
    <xdr:to>
      <xdr:col>6</xdr:col>
      <xdr:colOff>112545</xdr:colOff>
      <xdr:row>4</xdr:row>
      <xdr:rowOff>763925</xdr:rowOff>
    </xdr:to>
    <xdr:grpSp>
      <xdr:nvGrpSpPr>
        <xdr:cNvPr id="113" name="Group 112">
          <a:extLst>
            <a:ext uri="{FF2B5EF4-FFF2-40B4-BE49-F238E27FC236}">
              <a16:creationId xmlns:a16="http://schemas.microsoft.com/office/drawing/2014/main" id="{B31DE465-3F79-154D-9DC5-354070A7BC16}"/>
            </a:ext>
          </a:extLst>
        </xdr:cNvPr>
        <xdr:cNvGrpSpPr/>
      </xdr:nvGrpSpPr>
      <xdr:grpSpPr>
        <a:xfrm>
          <a:off x="10121232" y="3846409"/>
          <a:ext cx="2462713" cy="1172016"/>
          <a:chOff x="10122851" y="3844436"/>
          <a:chExt cx="2462005" cy="1169688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58302945-8253-71AD-DBDB-1B3089B146EA}"/>
              </a:ext>
            </a:extLst>
          </xdr:cNvPr>
          <xdr:cNvSpPr txBox="1"/>
        </xdr:nvSpPr>
        <xdr:spPr>
          <a:xfrm>
            <a:off x="10446969" y="3880156"/>
            <a:ext cx="1023420" cy="3278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en-AU" sz="2000">
                <a:solidFill>
                  <a:schemeClr val="bg2">
                    <a:lumMod val="50000"/>
                  </a:schemeClr>
                </a:solidFill>
              </a:rPr>
              <a:t>trend</a:t>
            </a:r>
          </a:p>
        </xdr:txBody>
      </xdr:sp>
      <xdr:sp macro="" textlink="">
        <xdr:nvSpPr>
          <xdr:cNvPr id="115" name="TextBox 114">
            <a:extLst>
              <a:ext uri="{FF2B5EF4-FFF2-40B4-BE49-F238E27FC236}">
                <a16:creationId xmlns:a16="http://schemas.microsoft.com/office/drawing/2014/main" id="{1295088C-1CC9-C18E-D8D8-F92801653413}"/>
              </a:ext>
            </a:extLst>
          </xdr:cNvPr>
          <xdr:cNvSpPr txBox="1"/>
        </xdr:nvSpPr>
        <xdr:spPr>
          <a:xfrm>
            <a:off x="10456757" y="4640843"/>
            <a:ext cx="1020763" cy="3278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en-AU" sz="2000" b="1">
                <a:solidFill>
                  <a:schemeClr val="bg2">
                    <a:lumMod val="50000"/>
                  </a:schemeClr>
                </a:solidFill>
              </a:rPr>
              <a:t>target</a:t>
            </a:r>
          </a:p>
        </xdr:txBody>
      </xdr:sp>
      <xdr:sp macro="" textlink="'Sprint Summary | data'!N9">
        <xdr:nvSpPr>
          <xdr:cNvPr id="116" name="TextBox 115">
            <a:extLst>
              <a:ext uri="{FF2B5EF4-FFF2-40B4-BE49-F238E27FC236}">
                <a16:creationId xmlns:a16="http://schemas.microsoft.com/office/drawing/2014/main" id="{D2D65CFF-BC9F-60C4-200C-7EC6D213E91E}"/>
              </a:ext>
            </a:extLst>
          </xdr:cNvPr>
          <xdr:cNvSpPr txBox="1"/>
        </xdr:nvSpPr>
        <xdr:spPr>
          <a:xfrm>
            <a:off x="11440249" y="3844436"/>
            <a:ext cx="1144607" cy="42539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marL="0" indent="0" algn="ctr"/>
            <a:fld id="{CB556686-0394-410C-9D71-0C6388A8B48E}" type="TxLink">
              <a:rPr lang="en-US" sz="2800" b="0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rPr>
              <a:pPr marL="0" indent="0" algn="ctr"/>
              <a:t>0</a:t>
            </a:fld>
            <a:endParaRPr lang="en-AU" sz="28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endParaRPr>
          </a:p>
        </xdr:txBody>
      </xdr:sp>
      <xdr:pic>
        <xdr:nvPicPr>
          <xdr:cNvPr id="117" name="Graphic 116">
            <a:extLst>
              <a:ext uri="{FF2B5EF4-FFF2-40B4-BE49-F238E27FC236}">
                <a16:creationId xmlns:a16="http://schemas.microsoft.com/office/drawing/2014/main" id="{D826D1FD-DA6C-039B-A59B-E9A3A1F2F2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10141948" y="4629949"/>
            <a:ext cx="411712" cy="384175"/>
          </a:xfrm>
          <a:prstGeom prst="rect">
            <a:avLst/>
          </a:prstGeom>
        </xdr:spPr>
      </xdr:pic>
      <xdr:pic>
        <xdr:nvPicPr>
          <xdr:cNvPr id="118" name="Graphic 117">
            <a:extLst>
              <a:ext uri="{FF2B5EF4-FFF2-40B4-BE49-F238E27FC236}">
                <a16:creationId xmlns:a16="http://schemas.microsoft.com/office/drawing/2014/main" id="{DCADF14D-FD12-BD05-C958-E2EB976FA3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10122851" y="3890301"/>
            <a:ext cx="441248" cy="334480"/>
          </a:xfrm>
          <a:prstGeom prst="rect">
            <a:avLst/>
          </a:prstGeom>
        </xdr:spPr>
      </xdr:pic>
      <xdr:sp macro="" textlink="'Sprint Summary | data'!N10">
        <xdr:nvSpPr>
          <xdr:cNvPr id="119" name="TextBox 118">
            <a:extLst>
              <a:ext uri="{FF2B5EF4-FFF2-40B4-BE49-F238E27FC236}">
                <a16:creationId xmlns:a16="http://schemas.microsoft.com/office/drawing/2014/main" id="{0A78E57D-47D6-BF1E-A294-02CAD1826DBC}"/>
              </a:ext>
            </a:extLst>
          </xdr:cNvPr>
          <xdr:cNvSpPr txBox="1"/>
        </xdr:nvSpPr>
        <xdr:spPr>
          <a:xfrm>
            <a:off x="11572791" y="4593217"/>
            <a:ext cx="872309" cy="41159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marL="0" indent="0" algn="ctr"/>
            <a:fld id="{08DABAAA-2B9B-42E6-B97B-510F4C60CE40}" type="TxLink">
              <a:rPr lang="en-US" sz="2800" b="1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rPr>
              <a:pPr marL="0" indent="0" algn="ctr"/>
              <a:t>0</a:t>
            </a:fld>
            <a:endParaRPr lang="en-AU" sz="28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endParaRPr>
          </a:p>
        </xdr:txBody>
      </xdr:sp>
    </xdr:grpSp>
    <xdr:clientData/>
  </xdr:twoCellAnchor>
  <xdr:twoCellAnchor>
    <xdr:from>
      <xdr:col>6</xdr:col>
      <xdr:colOff>126914</xdr:colOff>
      <xdr:row>15</xdr:row>
      <xdr:rowOff>82602</xdr:rowOff>
    </xdr:from>
    <xdr:to>
      <xdr:col>8</xdr:col>
      <xdr:colOff>649742</xdr:colOff>
      <xdr:row>15</xdr:row>
      <xdr:rowOff>813361</xdr:rowOff>
    </xdr:to>
    <xdr:grpSp>
      <xdr:nvGrpSpPr>
        <xdr:cNvPr id="120" name="Group 119">
          <a:extLst>
            <a:ext uri="{FF2B5EF4-FFF2-40B4-BE49-F238E27FC236}">
              <a16:creationId xmlns:a16="http://schemas.microsoft.com/office/drawing/2014/main" id="{1F8B421D-9967-DB46-9870-03D6FFC0859C}"/>
            </a:ext>
          </a:extLst>
        </xdr:cNvPr>
        <xdr:cNvGrpSpPr/>
      </xdr:nvGrpSpPr>
      <xdr:grpSpPr>
        <a:xfrm>
          <a:off x="12598314" y="9658402"/>
          <a:ext cx="3227928" cy="730759"/>
          <a:chOff x="1920876" y="1854200"/>
          <a:chExt cx="3238163" cy="433685"/>
        </a:xfrm>
      </xdr:grpSpPr>
      <xdr:sp macro="" textlink="">
        <xdr:nvSpPr>
          <xdr:cNvPr id="121" name="TextBox 120">
            <a:extLst>
              <a:ext uri="{FF2B5EF4-FFF2-40B4-BE49-F238E27FC236}">
                <a16:creationId xmlns:a16="http://schemas.microsoft.com/office/drawing/2014/main" id="{8EBFB0E2-B96B-8D09-3FA9-57F470F4D09E}"/>
              </a:ext>
            </a:extLst>
          </xdr:cNvPr>
          <xdr:cNvSpPr txBox="1"/>
        </xdr:nvSpPr>
        <xdr:spPr>
          <a:xfrm>
            <a:off x="1920876" y="1854200"/>
            <a:ext cx="3238163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 i="0" u="none" strike="noStrike">
                <a:solidFill>
                  <a:schemeClr val="tx1"/>
                </a:solidFill>
                <a:latin typeface="Calibri"/>
                <a:cs typeface="Calibri"/>
              </a:rPr>
              <a:t>Delivery Allocation</a:t>
            </a:r>
            <a:r>
              <a:rPr lang="en-US" sz="1600" b="1" i="0" u="none" strike="noStrike" baseline="0">
                <a:solidFill>
                  <a:schemeClr val="tx1"/>
                </a:solidFill>
                <a:latin typeface="Calibri"/>
                <a:cs typeface="Calibri"/>
              </a:rPr>
              <a:t> | outcomes</a:t>
            </a:r>
            <a:endParaRPr lang="en-US" sz="1600" b="1" i="0" u="none" strike="noStrike">
              <a:solidFill>
                <a:schemeClr val="tx1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122" name="TextBox 121">
            <a:extLst>
              <a:ext uri="{FF2B5EF4-FFF2-40B4-BE49-F238E27FC236}">
                <a16:creationId xmlns:a16="http://schemas.microsoft.com/office/drawing/2014/main" id="{EDF4E4C5-D470-008E-2BE2-9CAAAD811D1C}"/>
              </a:ext>
            </a:extLst>
          </xdr:cNvPr>
          <xdr:cNvSpPr txBox="1"/>
        </xdr:nvSpPr>
        <xdr:spPr>
          <a:xfrm>
            <a:off x="1933576" y="1998960"/>
            <a:ext cx="3070057" cy="288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1" u="none" strike="noStrike">
                <a:solidFill>
                  <a:schemeClr val="bg2">
                    <a:lumMod val="50000"/>
                  </a:schemeClr>
                </a:solidFill>
                <a:latin typeface="Calibri"/>
                <a:cs typeface="Calibri"/>
              </a:rPr>
              <a:t>where the effort was focused (completed work)</a:t>
            </a:r>
          </a:p>
        </xdr:txBody>
      </xdr:sp>
    </xdr:grpSp>
    <xdr:clientData/>
  </xdr:twoCellAnchor>
  <xdr:twoCellAnchor>
    <xdr:from>
      <xdr:col>5</xdr:col>
      <xdr:colOff>2603778</xdr:colOff>
      <xdr:row>15</xdr:row>
      <xdr:rowOff>730904</xdr:rowOff>
    </xdr:from>
    <xdr:to>
      <xdr:col>8</xdr:col>
      <xdr:colOff>106308</xdr:colOff>
      <xdr:row>16</xdr:row>
      <xdr:rowOff>910212</xdr:rowOff>
    </xdr:to>
    <xdr:graphicFrame macro="">
      <xdr:nvGraphicFramePr>
        <xdr:cNvPr id="123" name="Chart 122">
          <a:extLst>
            <a:ext uri="{FF2B5EF4-FFF2-40B4-BE49-F238E27FC236}">
              <a16:creationId xmlns:a16="http://schemas.microsoft.com/office/drawing/2014/main" id="{78D08B45-82CA-404D-9FC5-01BD1DA7F1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1291925</xdr:colOff>
      <xdr:row>16</xdr:row>
      <xdr:rowOff>534552</xdr:rowOff>
    </xdr:from>
    <xdr:to>
      <xdr:col>9</xdr:col>
      <xdr:colOff>640242</xdr:colOff>
      <xdr:row>16</xdr:row>
      <xdr:rowOff>1557083</xdr:rowOff>
    </xdr:to>
    <xdr:grpSp>
      <xdr:nvGrpSpPr>
        <xdr:cNvPr id="124" name="Group 123">
          <a:extLst>
            <a:ext uri="{FF2B5EF4-FFF2-40B4-BE49-F238E27FC236}">
              <a16:creationId xmlns:a16="http://schemas.microsoft.com/office/drawing/2014/main" id="{877004BF-F3F9-D440-BC4C-B72F2570213C}"/>
            </a:ext>
          </a:extLst>
        </xdr:cNvPr>
        <xdr:cNvGrpSpPr/>
      </xdr:nvGrpSpPr>
      <xdr:grpSpPr>
        <a:xfrm>
          <a:off x="14665025" y="11774052"/>
          <a:ext cx="1926417" cy="1022531"/>
          <a:chOff x="4983387" y="13197717"/>
          <a:chExt cx="1947033" cy="1319399"/>
        </a:xfrm>
      </xdr:grpSpPr>
      <xdr:grpSp>
        <xdr:nvGrpSpPr>
          <xdr:cNvPr id="125" name="Group 124">
            <a:extLst>
              <a:ext uri="{FF2B5EF4-FFF2-40B4-BE49-F238E27FC236}">
                <a16:creationId xmlns:a16="http://schemas.microsoft.com/office/drawing/2014/main" id="{D154F061-9252-9712-8124-1BB730F1779B}"/>
              </a:ext>
            </a:extLst>
          </xdr:cNvPr>
          <xdr:cNvGrpSpPr/>
        </xdr:nvGrpSpPr>
        <xdr:grpSpPr>
          <a:xfrm>
            <a:off x="6048539" y="13197717"/>
            <a:ext cx="880260" cy="240203"/>
            <a:chOff x="5992812" y="13470006"/>
            <a:chExt cx="880260" cy="370395"/>
          </a:xfrm>
        </xdr:grpSpPr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B543F3A7-F552-7AFA-7159-67F0A326B1EA}"/>
                </a:ext>
              </a:extLst>
            </xdr:cNvPr>
            <xdr:cNvSpPr txBox="1"/>
          </xdr:nvSpPr>
          <xdr:spPr>
            <a:xfrm>
              <a:off x="5992812" y="13470006"/>
              <a:ext cx="442111" cy="368807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bg2">
                  <a:lumMod val="9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800" b="1">
                  <a:solidFill>
                    <a:schemeClr val="bg2">
                      <a:lumMod val="75000"/>
                    </a:schemeClr>
                  </a:solidFill>
                </a:rPr>
                <a:t>pts</a:t>
              </a:r>
            </a:p>
          </xdr:txBody>
        </xdr:sp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3F4B6F0F-DF91-3691-6846-DFBDB6F32DFC}"/>
                </a:ext>
              </a:extLst>
            </xdr:cNvPr>
            <xdr:cNvSpPr txBox="1"/>
          </xdr:nvSpPr>
          <xdr:spPr>
            <a:xfrm>
              <a:off x="6430961" y="13471594"/>
              <a:ext cx="442111" cy="368807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bg2">
                  <a:lumMod val="9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800" b="1">
                  <a:solidFill>
                    <a:schemeClr val="bg2">
                      <a:lumMod val="75000"/>
                    </a:schemeClr>
                  </a:solidFill>
                </a:rPr>
                <a:t>%</a:t>
              </a:r>
            </a:p>
          </xdr:txBody>
        </xdr:sp>
      </xdr:grpSp>
      <xdr:grpSp>
        <xdr:nvGrpSpPr>
          <xdr:cNvPr id="126" name="Group 125">
            <a:extLst>
              <a:ext uri="{FF2B5EF4-FFF2-40B4-BE49-F238E27FC236}">
                <a16:creationId xmlns:a16="http://schemas.microsoft.com/office/drawing/2014/main" id="{AC482252-69A7-7F90-3C0C-EFF26D92C8D0}"/>
              </a:ext>
            </a:extLst>
          </xdr:cNvPr>
          <xdr:cNvGrpSpPr/>
        </xdr:nvGrpSpPr>
        <xdr:grpSpPr>
          <a:xfrm>
            <a:off x="4983387" y="13425134"/>
            <a:ext cx="1944366" cy="376020"/>
            <a:chOff x="4928706" y="13473112"/>
            <a:chExt cx="1944366" cy="376020"/>
          </a:xfrm>
        </xdr:grpSpPr>
        <xdr:grpSp>
          <xdr:nvGrpSpPr>
            <xdr:cNvPr id="139" name="Group 138">
              <a:extLst>
                <a:ext uri="{FF2B5EF4-FFF2-40B4-BE49-F238E27FC236}">
                  <a16:creationId xmlns:a16="http://schemas.microsoft.com/office/drawing/2014/main" id="{8D5A7154-08AD-F6CC-0B76-674CD38B8E29}"/>
                </a:ext>
              </a:extLst>
            </xdr:cNvPr>
            <xdr:cNvGrpSpPr/>
          </xdr:nvGrpSpPr>
          <xdr:grpSpPr>
            <a:xfrm>
              <a:off x="4984212" y="13477150"/>
              <a:ext cx="1888860" cy="371982"/>
              <a:chOff x="4984212" y="13468419"/>
              <a:chExt cx="1888860" cy="371982"/>
            </a:xfrm>
          </xdr:grpSpPr>
          <xdr:sp macro="" textlink="'Sprint Summary | data'!A29">
            <xdr:nvSpPr>
              <xdr:cNvPr id="141" name="TextBox 140">
                <a:extLst>
                  <a:ext uri="{FF2B5EF4-FFF2-40B4-BE49-F238E27FC236}">
                    <a16:creationId xmlns:a16="http://schemas.microsoft.com/office/drawing/2014/main" id="{42D338CF-3B36-7B91-504B-32FC72EEDF85}"/>
                  </a:ext>
                </a:extLst>
              </xdr:cNvPr>
              <xdr:cNvSpPr txBox="1"/>
            </xdr:nvSpPr>
            <xdr:spPr>
              <a:xfrm>
                <a:off x="4984212" y="13468419"/>
                <a:ext cx="1016530" cy="368807"/>
              </a:xfrm>
              <a:prstGeom prst="rect">
                <a:avLst/>
              </a:prstGeom>
              <a:solidFill>
                <a:schemeClr val="bg1"/>
              </a:solidFill>
              <a:ln w="9525" cmpd="sng">
                <a:solidFill>
                  <a:schemeClr val="bg2">
                    <a:lumMod val="9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r"/>
                <a:fld id="{789D462D-5F9B-4080-A5D4-CAEF898FB01F}" type="TxLink">
                  <a:rPr lang="en-US" sz="800" b="0" i="0" u="none" strike="noStrike">
                    <a:solidFill>
                      <a:schemeClr val="bg2">
                        <a:lumMod val="75000"/>
                      </a:schemeClr>
                    </a:solidFill>
                    <a:latin typeface="Calibri"/>
                    <a:cs typeface="Calibri"/>
                  </a:rPr>
                  <a:pPr algn="r"/>
                  <a:t>BAU/Improvement</a:t>
                </a:fld>
                <a:endParaRPr lang="en-AU" sz="800">
                  <a:solidFill>
                    <a:schemeClr val="bg2">
                      <a:lumMod val="75000"/>
                    </a:schemeClr>
                  </a:solidFill>
                </a:endParaRPr>
              </a:p>
            </xdr:txBody>
          </xdr:sp>
          <xdr:sp macro="" textlink="'Sprint Summary | data'!B29">
            <xdr:nvSpPr>
              <xdr:cNvPr id="142" name="TextBox 141">
                <a:extLst>
                  <a:ext uri="{FF2B5EF4-FFF2-40B4-BE49-F238E27FC236}">
                    <a16:creationId xmlns:a16="http://schemas.microsoft.com/office/drawing/2014/main" id="{C94D6F6F-378C-E125-0FD7-2D96714E1CE2}"/>
                  </a:ext>
                </a:extLst>
              </xdr:cNvPr>
              <xdr:cNvSpPr txBox="1"/>
            </xdr:nvSpPr>
            <xdr:spPr>
              <a:xfrm>
                <a:off x="5992812" y="13470006"/>
                <a:ext cx="442111" cy="368807"/>
              </a:xfrm>
              <a:prstGeom prst="rect">
                <a:avLst/>
              </a:prstGeom>
              <a:solidFill>
                <a:schemeClr val="bg1"/>
              </a:solidFill>
              <a:ln w="9525" cmpd="sng">
                <a:solidFill>
                  <a:schemeClr val="bg2">
                    <a:lumMod val="9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D0CFB8DF-97CF-4861-B745-A001C19F0CE1}" type="TxLink">
                  <a:rPr lang="en-US" sz="800" b="0" i="0" u="none" strike="noStrike">
                    <a:solidFill>
                      <a:schemeClr val="bg2">
                        <a:lumMod val="75000"/>
                      </a:schemeClr>
                    </a:solidFill>
                    <a:latin typeface="Calibri"/>
                    <a:cs typeface="Calibri"/>
                  </a:rPr>
                  <a:pPr algn="ctr"/>
                  <a:t>0</a:t>
                </a:fld>
                <a:endParaRPr lang="en-AU" sz="800">
                  <a:solidFill>
                    <a:schemeClr val="bg2">
                      <a:lumMod val="75000"/>
                    </a:schemeClr>
                  </a:solidFill>
                </a:endParaRPr>
              </a:p>
            </xdr:txBody>
          </xdr:sp>
          <xdr:sp macro="" textlink="'Sprint Summary | data'!C29">
            <xdr:nvSpPr>
              <xdr:cNvPr id="143" name="TextBox 142">
                <a:extLst>
                  <a:ext uri="{FF2B5EF4-FFF2-40B4-BE49-F238E27FC236}">
                    <a16:creationId xmlns:a16="http://schemas.microsoft.com/office/drawing/2014/main" id="{835A7346-1B79-FE03-7F4A-ED1E10D0042A}"/>
                  </a:ext>
                </a:extLst>
              </xdr:cNvPr>
              <xdr:cNvSpPr txBox="1"/>
            </xdr:nvSpPr>
            <xdr:spPr>
              <a:xfrm>
                <a:off x="6430961" y="13471594"/>
                <a:ext cx="442111" cy="368807"/>
              </a:xfrm>
              <a:prstGeom prst="rect">
                <a:avLst/>
              </a:prstGeom>
              <a:solidFill>
                <a:schemeClr val="bg1"/>
              </a:solidFill>
              <a:ln w="9525" cmpd="sng">
                <a:solidFill>
                  <a:schemeClr val="bg2">
                    <a:lumMod val="9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80C61450-8A83-474F-928A-77D7206D0098}" type="TxLink">
                  <a:rPr lang="en-US" sz="800" b="0" i="0" u="none" strike="noStrike">
                    <a:solidFill>
                      <a:schemeClr val="bg2">
                        <a:lumMod val="75000"/>
                      </a:schemeClr>
                    </a:solidFill>
                    <a:latin typeface="Calibri"/>
                    <a:cs typeface="Calibri"/>
                  </a:rPr>
                  <a:pPr algn="ctr"/>
                  <a:t>#DIV/0!</a:t>
                </a:fld>
                <a:endParaRPr lang="en-AU" sz="800">
                  <a:solidFill>
                    <a:schemeClr val="bg2">
                      <a:lumMod val="75000"/>
                    </a:schemeClr>
                  </a:solidFill>
                </a:endParaRPr>
              </a:p>
            </xdr:txBody>
          </xdr:sp>
        </xdr:grpSp>
        <xdr:sp macro="" textlink="">
          <xdr:nvSpPr>
            <xdr:cNvPr id="140" name="TextBox 139">
              <a:extLst>
                <a:ext uri="{FF2B5EF4-FFF2-40B4-BE49-F238E27FC236}">
                  <a16:creationId xmlns:a16="http://schemas.microsoft.com/office/drawing/2014/main" id="{F6996643-7B79-BCA0-1737-239FCE90DDB2}"/>
                </a:ext>
              </a:extLst>
            </xdr:cNvPr>
            <xdr:cNvSpPr txBox="1"/>
          </xdr:nvSpPr>
          <xdr:spPr>
            <a:xfrm>
              <a:off x="4928706" y="13473112"/>
              <a:ext cx="73362" cy="372845"/>
            </a:xfrm>
            <a:prstGeom prst="rect">
              <a:avLst/>
            </a:prstGeom>
            <a:solidFill>
              <a:schemeClr val="accent4">
                <a:lumMod val="40000"/>
                <a:lumOff val="6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AU" sz="800">
                <a:solidFill>
                  <a:schemeClr val="bg2">
                    <a:lumMod val="75000"/>
                  </a:schemeClr>
                </a:solidFill>
              </a:endParaRPr>
            </a:p>
          </xdr:txBody>
        </xdr:sp>
      </xdr:grpSp>
      <xdr:grpSp>
        <xdr:nvGrpSpPr>
          <xdr:cNvPr id="127" name="Group 126">
            <a:extLst>
              <a:ext uri="{FF2B5EF4-FFF2-40B4-BE49-F238E27FC236}">
                <a16:creationId xmlns:a16="http://schemas.microsoft.com/office/drawing/2014/main" id="{AFA4C46B-63BA-D2C9-768C-EF2042C2F79B}"/>
              </a:ext>
            </a:extLst>
          </xdr:cNvPr>
          <xdr:cNvGrpSpPr/>
        </xdr:nvGrpSpPr>
        <xdr:grpSpPr>
          <a:xfrm>
            <a:off x="4983387" y="13782321"/>
            <a:ext cx="1945953" cy="377608"/>
            <a:chOff x="4928706" y="13830299"/>
            <a:chExt cx="1945953" cy="377608"/>
          </a:xfrm>
        </xdr:grpSpPr>
        <xdr:grpSp>
          <xdr:nvGrpSpPr>
            <xdr:cNvPr id="134" name="Group 133">
              <a:extLst>
                <a:ext uri="{FF2B5EF4-FFF2-40B4-BE49-F238E27FC236}">
                  <a16:creationId xmlns:a16="http://schemas.microsoft.com/office/drawing/2014/main" id="{705B090E-9534-6F05-0D79-1D9CC628A2CE}"/>
                </a:ext>
              </a:extLst>
            </xdr:cNvPr>
            <xdr:cNvGrpSpPr/>
          </xdr:nvGrpSpPr>
          <xdr:grpSpPr>
            <a:xfrm>
              <a:off x="4985799" y="13835925"/>
              <a:ext cx="1888860" cy="371982"/>
              <a:chOff x="4984212" y="13468419"/>
              <a:chExt cx="1888860" cy="371982"/>
            </a:xfrm>
          </xdr:grpSpPr>
          <xdr:sp macro="" textlink="'Sprint Summary | data'!A30">
            <xdr:nvSpPr>
              <xdr:cNvPr id="136" name="TextBox 135">
                <a:extLst>
                  <a:ext uri="{FF2B5EF4-FFF2-40B4-BE49-F238E27FC236}">
                    <a16:creationId xmlns:a16="http://schemas.microsoft.com/office/drawing/2014/main" id="{0CDE6569-8C66-0D4D-FF0A-D8C355FA27CE}"/>
                  </a:ext>
                </a:extLst>
              </xdr:cNvPr>
              <xdr:cNvSpPr txBox="1"/>
            </xdr:nvSpPr>
            <xdr:spPr>
              <a:xfrm>
                <a:off x="4984212" y="13468419"/>
                <a:ext cx="1016530" cy="368807"/>
              </a:xfrm>
              <a:prstGeom prst="rect">
                <a:avLst/>
              </a:prstGeom>
              <a:solidFill>
                <a:schemeClr val="bg1"/>
              </a:solidFill>
              <a:ln w="9525" cmpd="sng">
                <a:solidFill>
                  <a:schemeClr val="bg2">
                    <a:lumMod val="9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r"/>
                <a:fld id="{E0FA7979-F0C7-4E75-BC26-1DFEAAF49C58}" type="TxLink">
                  <a:rPr lang="en-US" sz="800" b="0" i="0" u="none" strike="noStrike">
                    <a:solidFill>
                      <a:schemeClr val="bg2">
                        <a:lumMod val="75000"/>
                      </a:schemeClr>
                    </a:solidFill>
                    <a:latin typeface="Calibri"/>
                    <a:cs typeface="Calibri"/>
                  </a:rPr>
                  <a:pPr algn="r"/>
                  <a:t>label3</a:t>
                </a:fld>
                <a:endParaRPr lang="en-AU" sz="800">
                  <a:solidFill>
                    <a:schemeClr val="bg2">
                      <a:lumMod val="75000"/>
                    </a:schemeClr>
                  </a:solidFill>
                </a:endParaRPr>
              </a:p>
            </xdr:txBody>
          </xdr:sp>
          <xdr:sp macro="" textlink="'Sprint Summary | data'!B30">
            <xdr:nvSpPr>
              <xdr:cNvPr id="137" name="TextBox 136">
                <a:extLst>
                  <a:ext uri="{FF2B5EF4-FFF2-40B4-BE49-F238E27FC236}">
                    <a16:creationId xmlns:a16="http://schemas.microsoft.com/office/drawing/2014/main" id="{122CB41D-4EE8-8B32-5277-5B02092B8898}"/>
                  </a:ext>
                </a:extLst>
              </xdr:cNvPr>
              <xdr:cNvSpPr txBox="1"/>
            </xdr:nvSpPr>
            <xdr:spPr>
              <a:xfrm>
                <a:off x="5992812" y="13470006"/>
                <a:ext cx="442111" cy="368807"/>
              </a:xfrm>
              <a:prstGeom prst="rect">
                <a:avLst/>
              </a:prstGeom>
              <a:solidFill>
                <a:schemeClr val="bg1"/>
              </a:solidFill>
              <a:ln w="9525" cmpd="sng">
                <a:solidFill>
                  <a:schemeClr val="bg2">
                    <a:lumMod val="9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C1BC7AD5-9365-450D-8FBC-5C1517791FBA}" type="TxLink">
                  <a:rPr lang="en-US" sz="800" b="0" i="0" u="none" strike="noStrike">
                    <a:solidFill>
                      <a:schemeClr val="bg2">
                        <a:lumMod val="75000"/>
                      </a:schemeClr>
                    </a:solidFill>
                    <a:latin typeface="Calibri"/>
                    <a:cs typeface="Calibri"/>
                  </a:rPr>
                  <a:pPr algn="ctr"/>
                  <a:t>0</a:t>
                </a:fld>
                <a:endParaRPr lang="en-AU" sz="800">
                  <a:solidFill>
                    <a:schemeClr val="bg2">
                      <a:lumMod val="75000"/>
                    </a:schemeClr>
                  </a:solidFill>
                </a:endParaRPr>
              </a:p>
            </xdr:txBody>
          </xdr:sp>
          <xdr:sp macro="" textlink="'Sprint Summary | data'!C30">
            <xdr:nvSpPr>
              <xdr:cNvPr id="138" name="TextBox 137">
                <a:extLst>
                  <a:ext uri="{FF2B5EF4-FFF2-40B4-BE49-F238E27FC236}">
                    <a16:creationId xmlns:a16="http://schemas.microsoft.com/office/drawing/2014/main" id="{F7ABEF01-2078-D100-E7A0-32CEFC54573D}"/>
                  </a:ext>
                </a:extLst>
              </xdr:cNvPr>
              <xdr:cNvSpPr txBox="1"/>
            </xdr:nvSpPr>
            <xdr:spPr>
              <a:xfrm>
                <a:off x="6430961" y="13471594"/>
                <a:ext cx="442111" cy="368807"/>
              </a:xfrm>
              <a:prstGeom prst="rect">
                <a:avLst/>
              </a:prstGeom>
              <a:solidFill>
                <a:schemeClr val="bg1"/>
              </a:solidFill>
              <a:ln w="9525" cmpd="sng">
                <a:solidFill>
                  <a:schemeClr val="bg2">
                    <a:lumMod val="9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6953B824-658C-4C10-9E9D-21DE16321034}" type="TxLink">
                  <a:rPr lang="en-US" sz="800" b="0" i="0" u="none" strike="noStrike">
                    <a:solidFill>
                      <a:schemeClr val="bg2">
                        <a:lumMod val="75000"/>
                      </a:schemeClr>
                    </a:solidFill>
                    <a:latin typeface="Calibri"/>
                    <a:cs typeface="Calibri"/>
                  </a:rPr>
                  <a:pPr algn="ctr"/>
                  <a:t>#DIV/0!</a:t>
                </a:fld>
                <a:endParaRPr lang="en-AU" sz="800">
                  <a:solidFill>
                    <a:schemeClr val="bg2">
                      <a:lumMod val="75000"/>
                    </a:schemeClr>
                  </a:solidFill>
                </a:endParaRPr>
              </a:p>
            </xdr:txBody>
          </xdr:sp>
        </xdr:grpSp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2681E812-A418-E347-D2BD-FA5DF0AEC679}"/>
                </a:ext>
              </a:extLst>
            </xdr:cNvPr>
            <xdr:cNvSpPr txBox="1"/>
          </xdr:nvSpPr>
          <xdr:spPr>
            <a:xfrm>
              <a:off x="4928706" y="13830299"/>
              <a:ext cx="73362" cy="372845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AU" sz="800">
                <a:solidFill>
                  <a:schemeClr val="bg2">
                    <a:lumMod val="75000"/>
                  </a:schemeClr>
                </a:solidFill>
              </a:endParaRPr>
            </a:p>
          </xdr:txBody>
        </xdr:sp>
      </xdr:grpSp>
      <xdr:grpSp>
        <xdr:nvGrpSpPr>
          <xdr:cNvPr id="128" name="Group 127">
            <a:extLst>
              <a:ext uri="{FF2B5EF4-FFF2-40B4-BE49-F238E27FC236}">
                <a16:creationId xmlns:a16="http://schemas.microsoft.com/office/drawing/2014/main" id="{3CC73284-58B7-5C70-3165-CC762E1B6A1F}"/>
              </a:ext>
            </a:extLst>
          </xdr:cNvPr>
          <xdr:cNvGrpSpPr/>
        </xdr:nvGrpSpPr>
        <xdr:grpSpPr>
          <a:xfrm>
            <a:off x="4983387" y="14143006"/>
            <a:ext cx="1947033" cy="374110"/>
            <a:chOff x="4928706" y="14190984"/>
            <a:chExt cx="1947033" cy="374110"/>
          </a:xfrm>
        </xdr:grpSpPr>
        <xdr:grpSp>
          <xdr:nvGrpSpPr>
            <xdr:cNvPr id="129" name="Group 128">
              <a:extLst>
                <a:ext uri="{FF2B5EF4-FFF2-40B4-BE49-F238E27FC236}">
                  <a16:creationId xmlns:a16="http://schemas.microsoft.com/office/drawing/2014/main" id="{6E13FF49-2E08-0C2A-5E8B-D9F2F6B805BC}"/>
                </a:ext>
              </a:extLst>
            </xdr:cNvPr>
            <xdr:cNvGrpSpPr/>
          </xdr:nvGrpSpPr>
          <xdr:grpSpPr>
            <a:xfrm>
              <a:off x="4986879" y="14190984"/>
              <a:ext cx="1888860" cy="371982"/>
              <a:chOff x="4984212" y="13468419"/>
              <a:chExt cx="1888860" cy="371982"/>
            </a:xfrm>
          </xdr:grpSpPr>
          <xdr:sp macro="" textlink="'Sprint Summary | data'!A31">
            <xdr:nvSpPr>
              <xdr:cNvPr id="131" name="TextBox 130">
                <a:extLst>
                  <a:ext uri="{FF2B5EF4-FFF2-40B4-BE49-F238E27FC236}">
                    <a16:creationId xmlns:a16="http://schemas.microsoft.com/office/drawing/2014/main" id="{9D4968F2-1DCE-A812-383E-3361713507CD}"/>
                  </a:ext>
                </a:extLst>
              </xdr:cNvPr>
              <xdr:cNvSpPr txBox="1"/>
            </xdr:nvSpPr>
            <xdr:spPr>
              <a:xfrm>
                <a:off x="4984212" y="13468419"/>
                <a:ext cx="1016530" cy="368807"/>
              </a:xfrm>
              <a:prstGeom prst="rect">
                <a:avLst/>
              </a:prstGeom>
              <a:solidFill>
                <a:schemeClr val="bg1"/>
              </a:solidFill>
              <a:ln w="9525" cmpd="sng">
                <a:solidFill>
                  <a:schemeClr val="bg2">
                    <a:lumMod val="9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r"/>
                <a:fld id="{276B0573-7370-4189-AFA8-953028B005EE}" type="TxLink">
                  <a:rPr lang="en-US" sz="800" b="0" i="0" u="none" strike="noStrike">
                    <a:solidFill>
                      <a:schemeClr val="bg2">
                        <a:lumMod val="75000"/>
                      </a:schemeClr>
                    </a:solidFill>
                    <a:latin typeface="Calibri"/>
                    <a:cs typeface="Calibri"/>
                  </a:rPr>
                  <a:pPr algn="r"/>
                  <a:t>label4</a:t>
                </a:fld>
                <a:endParaRPr lang="en-AU" sz="800">
                  <a:solidFill>
                    <a:schemeClr val="bg2">
                      <a:lumMod val="75000"/>
                    </a:schemeClr>
                  </a:solidFill>
                </a:endParaRPr>
              </a:p>
            </xdr:txBody>
          </xdr:sp>
          <xdr:sp macro="" textlink="'Sprint Summary | data'!B31">
            <xdr:nvSpPr>
              <xdr:cNvPr id="132" name="TextBox 131">
                <a:extLst>
                  <a:ext uri="{FF2B5EF4-FFF2-40B4-BE49-F238E27FC236}">
                    <a16:creationId xmlns:a16="http://schemas.microsoft.com/office/drawing/2014/main" id="{3C44BA4C-A037-7F13-B931-B4AB3D08F866}"/>
                  </a:ext>
                </a:extLst>
              </xdr:cNvPr>
              <xdr:cNvSpPr txBox="1"/>
            </xdr:nvSpPr>
            <xdr:spPr>
              <a:xfrm>
                <a:off x="5992812" y="13470006"/>
                <a:ext cx="442111" cy="368807"/>
              </a:xfrm>
              <a:prstGeom prst="rect">
                <a:avLst/>
              </a:prstGeom>
              <a:solidFill>
                <a:schemeClr val="bg1"/>
              </a:solidFill>
              <a:ln w="9525" cmpd="sng">
                <a:solidFill>
                  <a:schemeClr val="bg2">
                    <a:lumMod val="9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C45B61C7-D5B6-495D-8272-8D4EE0146E4D}" type="TxLink">
                  <a:rPr lang="en-US" sz="800" b="0" i="0" u="none" strike="noStrike">
                    <a:solidFill>
                      <a:schemeClr val="bg2">
                        <a:lumMod val="75000"/>
                      </a:schemeClr>
                    </a:solidFill>
                    <a:latin typeface="Calibri"/>
                    <a:cs typeface="Calibri"/>
                  </a:rPr>
                  <a:pPr algn="ctr"/>
                  <a:t>0</a:t>
                </a:fld>
                <a:endParaRPr lang="en-AU" sz="800">
                  <a:solidFill>
                    <a:schemeClr val="bg2">
                      <a:lumMod val="75000"/>
                    </a:schemeClr>
                  </a:solidFill>
                </a:endParaRPr>
              </a:p>
            </xdr:txBody>
          </xdr:sp>
          <xdr:sp macro="" textlink="'Sprint Summary | data'!C31">
            <xdr:nvSpPr>
              <xdr:cNvPr id="133" name="TextBox 132">
                <a:extLst>
                  <a:ext uri="{FF2B5EF4-FFF2-40B4-BE49-F238E27FC236}">
                    <a16:creationId xmlns:a16="http://schemas.microsoft.com/office/drawing/2014/main" id="{DB9A6521-2636-CE73-D1FA-686117EDDCC5}"/>
                  </a:ext>
                </a:extLst>
              </xdr:cNvPr>
              <xdr:cNvSpPr txBox="1"/>
            </xdr:nvSpPr>
            <xdr:spPr>
              <a:xfrm>
                <a:off x="6430961" y="13471594"/>
                <a:ext cx="442111" cy="368807"/>
              </a:xfrm>
              <a:prstGeom prst="rect">
                <a:avLst/>
              </a:prstGeom>
              <a:solidFill>
                <a:schemeClr val="bg1"/>
              </a:solidFill>
              <a:ln w="9525" cmpd="sng">
                <a:solidFill>
                  <a:schemeClr val="bg2">
                    <a:lumMod val="9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C9D51A31-A79A-48B6-B37F-6CB2571BC45B}" type="TxLink">
                  <a:rPr lang="en-US" sz="800" b="0" i="0" u="none" strike="noStrike">
                    <a:solidFill>
                      <a:schemeClr val="bg2">
                        <a:lumMod val="75000"/>
                      </a:schemeClr>
                    </a:solidFill>
                    <a:latin typeface="Calibri"/>
                    <a:cs typeface="Calibri"/>
                  </a:rPr>
                  <a:pPr algn="ctr"/>
                  <a:t>#DIV/0!</a:t>
                </a:fld>
                <a:endParaRPr lang="en-AU" sz="800">
                  <a:solidFill>
                    <a:schemeClr val="bg2">
                      <a:lumMod val="75000"/>
                    </a:schemeClr>
                  </a:solidFill>
                </a:endParaRPr>
              </a:p>
            </xdr:txBody>
          </xdr:sp>
        </xdr:grpSp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E243FCA9-CF80-4093-017F-1A15BA335C2D}"/>
                </a:ext>
              </a:extLst>
            </xdr:cNvPr>
            <xdr:cNvSpPr txBox="1"/>
          </xdr:nvSpPr>
          <xdr:spPr>
            <a:xfrm>
              <a:off x="4928706" y="14192249"/>
              <a:ext cx="73362" cy="372845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AU" sz="800">
                <a:solidFill>
                  <a:schemeClr val="bg2">
                    <a:lumMod val="75000"/>
                  </a:schemeClr>
                </a:solidFill>
              </a:endParaRPr>
            </a:p>
          </xdr:txBody>
        </xdr:sp>
      </xdr:grpSp>
    </xdr:grpSp>
    <xdr:clientData/>
  </xdr:twoCellAnchor>
  <xdr:twoCellAnchor>
    <xdr:from>
      <xdr:col>4</xdr:col>
      <xdr:colOff>113578</xdr:colOff>
      <xdr:row>16</xdr:row>
      <xdr:rowOff>963179</xdr:rowOff>
    </xdr:from>
    <xdr:to>
      <xdr:col>4</xdr:col>
      <xdr:colOff>2319053</xdr:colOff>
      <xdr:row>16</xdr:row>
      <xdr:rowOff>1585730</xdr:rowOff>
    </xdr:to>
    <xdr:grpSp>
      <xdr:nvGrpSpPr>
        <xdr:cNvPr id="146" name="Group 145">
          <a:extLst>
            <a:ext uri="{FF2B5EF4-FFF2-40B4-BE49-F238E27FC236}">
              <a16:creationId xmlns:a16="http://schemas.microsoft.com/office/drawing/2014/main" id="{BC0AE845-D1F7-7D47-841D-78AD17135D3F}"/>
            </a:ext>
          </a:extLst>
        </xdr:cNvPr>
        <xdr:cNvGrpSpPr/>
      </xdr:nvGrpSpPr>
      <xdr:grpSpPr>
        <a:xfrm>
          <a:off x="7149378" y="12202679"/>
          <a:ext cx="2205475" cy="622551"/>
          <a:chOff x="11144224" y="13543001"/>
          <a:chExt cx="1945953" cy="962212"/>
        </a:xfrm>
      </xdr:grpSpPr>
      <xdr:grpSp>
        <xdr:nvGrpSpPr>
          <xdr:cNvPr id="147" name="Group 146">
            <a:extLst>
              <a:ext uri="{FF2B5EF4-FFF2-40B4-BE49-F238E27FC236}">
                <a16:creationId xmlns:a16="http://schemas.microsoft.com/office/drawing/2014/main" id="{50FA1A0F-A76F-F4DD-3E3F-67C671F2F5EE}"/>
              </a:ext>
            </a:extLst>
          </xdr:cNvPr>
          <xdr:cNvGrpSpPr/>
        </xdr:nvGrpSpPr>
        <xdr:grpSpPr>
          <a:xfrm>
            <a:off x="12209376" y="13543001"/>
            <a:ext cx="880260" cy="240203"/>
            <a:chOff x="5992812" y="13470006"/>
            <a:chExt cx="880260" cy="370395"/>
          </a:xfrm>
        </xdr:grpSpPr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33507FF5-E2B9-050E-608C-7033DAEDB252}"/>
                </a:ext>
              </a:extLst>
            </xdr:cNvPr>
            <xdr:cNvSpPr txBox="1"/>
          </xdr:nvSpPr>
          <xdr:spPr>
            <a:xfrm>
              <a:off x="5992812" y="13470006"/>
              <a:ext cx="442111" cy="368807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bg2">
                  <a:lumMod val="9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800" b="1">
                  <a:solidFill>
                    <a:schemeClr val="bg2">
                      <a:lumMod val="75000"/>
                    </a:schemeClr>
                  </a:solidFill>
                </a:rPr>
                <a:t>pts</a:t>
              </a:r>
            </a:p>
          </xdr:txBody>
        </xdr:sp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BC9B04AA-B928-6107-76CB-55BFFA855B82}"/>
                </a:ext>
              </a:extLst>
            </xdr:cNvPr>
            <xdr:cNvSpPr txBox="1"/>
          </xdr:nvSpPr>
          <xdr:spPr>
            <a:xfrm>
              <a:off x="6430961" y="13471594"/>
              <a:ext cx="442111" cy="368807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bg2">
                  <a:lumMod val="9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800" b="1">
                  <a:solidFill>
                    <a:schemeClr val="bg2">
                      <a:lumMod val="75000"/>
                    </a:schemeClr>
                  </a:solidFill>
                </a:rPr>
                <a:t>%</a:t>
              </a:r>
            </a:p>
          </xdr:txBody>
        </xdr:sp>
      </xdr:grpSp>
      <xdr:grpSp>
        <xdr:nvGrpSpPr>
          <xdr:cNvPr id="148" name="Group 147">
            <a:extLst>
              <a:ext uri="{FF2B5EF4-FFF2-40B4-BE49-F238E27FC236}">
                <a16:creationId xmlns:a16="http://schemas.microsoft.com/office/drawing/2014/main" id="{9E29CE47-3CCE-DE3F-9B12-6429515FFC85}"/>
              </a:ext>
            </a:extLst>
          </xdr:cNvPr>
          <xdr:cNvGrpSpPr/>
        </xdr:nvGrpSpPr>
        <xdr:grpSpPr>
          <a:xfrm>
            <a:off x="11144224" y="13770418"/>
            <a:ext cx="1944366" cy="376020"/>
            <a:chOff x="4928706" y="13473112"/>
            <a:chExt cx="1944366" cy="376020"/>
          </a:xfrm>
        </xdr:grpSpPr>
        <xdr:grpSp>
          <xdr:nvGrpSpPr>
            <xdr:cNvPr id="155" name="Group 154">
              <a:extLst>
                <a:ext uri="{FF2B5EF4-FFF2-40B4-BE49-F238E27FC236}">
                  <a16:creationId xmlns:a16="http://schemas.microsoft.com/office/drawing/2014/main" id="{4180E71C-768F-6D82-2803-8E0FE458DBAE}"/>
                </a:ext>
              </a:extLst>
            </xdr:cNvPr>
            <xdr:cNvGrpSpPr/>
          </xdr:nvGrpSpPr>
          <xdr:grpSpPr>
            <a:xfrm>
              <a:off x="4984212" y="13477150"/>
              <a:ext cx="1888860" cy="371982"/>
              <a:chOff x="4984212" y="13468419"/>
              <a:chExt cx="1888860" cy="371982"/>
            </a:xfrm>
          </xdr:grpSpPr>
          <xdr:sp macro="" textlink="'Sprint Summary | data'!I74">
            <xdr:nvSpPr>
              <xdr:cNvPr id="157" name="TextBox 156">
                <a:extLst>
                  <a:ext uri="{FF2B5EF4-FFF2-40B4-BE49-F238E27FC236}">
                    <a16:creationId xmlns:a16="http://schemas.microsoft.com/office/drawing/2014/main" id="{82048ACE-FA39-17E4-35F5-EF536CB58FCB}"/>
                  </a:ext>
                </a:extLst>
              </xdr:cNvPr>
              <xdr:cNvSpPr txBox="1"/>
            </xdr:nvSpPr>
            <xdr:spPr>
              <a:xfrm>
                <a:off x="4984212" y="13468419"/>
                <a:ext cx="1016530" cy="368807"/>
              </a:xfrm>
              <a:prstGeom prst="rect">
                <a:avLst/>
              </a:prstGeom>
              <a:solidFill>
                <a:schemeClr val="bg1"/>
              </a:solidFill>
              <a:ln w="9525" cmpd="sng">
                <a:solidFill>
                  <a:schemeClr val="bg2">
                    <a:lumMod val="9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r"/>
                <a:fld id="{F235FBB9-AD3C-4F86-85AE-77F2ED64712C}" type="TxLink">
                  <a:rPr lang="en-US" sz="1100" b="0" i="0" u="none" strike="noStrike">
                    <a:solidFill>
                      <a:schemeClr val="bg2">
                        <a:lumMod val="75000"/>
                      </a:schemeClr>
                    </a:solidFill>
                    <a:latin typeface="Calibri"/>
                    <a:cs typeface="Calibri"/>
                  </a:rPr>
                  <a:pPr algn="r"/>
                  <a:t>BAU</a:t>
                </a:fld>
                <a:endParaRPr lang="en-AU" sz="800">
                  <a:solidFill>
                    <a:schemeClr val="bg2">
                      <a:lumMod val="75000"/>
                    </a:schemeClr>
                  </a:solidFill>
                </a:endParaRPr>
              </a:p>
            </xdr:txBody>
          </xdr:sp>
          <xdr:sp macro="" textlink="'Sprint Summary | data'!J74">
            <xdr:nvSpPr>
              <xdr:cNvPr id="158" name="TextBox 157">
                <a:extLst>
                  <a:ext uri="{FF2B5EF4-FFF2-40B4-BE49-F238E27FC236}">
                    <a16:creationId xmlns:a16="http://schemas.microsoft.com/office/drawing/2014/main" id="{16D4B211-5D00-DA1E-74CB-BBD37C322446}"/>
                  </a:ext>
                </a:extLst>
              </xdr:cNvPr>
              <xdr:cNvSpPr txBox="1"/>
            </xdr:nvSpPr>
            <xdr:spPr>
              <a:xfrm>
                <a:off x="5992812" y="13470006"/>
                <a:ext cx="442111" cy="368807"/>
              </a:xfrm>
              <a:prstGeom prst="rect">
                <a:avLst/>
              </a:prstGeom>
              <a:solidFill>
                <a:schemeClr val="bg1"/>
              </a:solidFill>
              <a:ln w="9525" cmpd="sng">
                <a:solidFill>
                  <a:schemeClr val="bg2">
                    <a:lumMod val="9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59D71596-F494-4816-B5EC-4371891FF788}" type="TxLink">
                  <a:rPr lang="en-US" sz="1100" b="0" i="0" u="none" strike="noStrike">
                    <a:solidFill>
                      <a:schemeClr val="bg2">
                        <a:lumMod val="75000"/>
                      </a:schemeClr>
                    </a:solidFill>
                    <a:latin typeface="Calibri"/>
                    <a:cs typeface="Calibri"/>
                  </a:rPr>
                  <a:pPr algn="ctr"/>
                  <a:t>0</a:t>
                </a:fld>
                <a:endParaRPr lang="en-AU" sz="800">
                  <a:solidFill>
                    <a:schemeClr val="bg2">
                      <a:lumMod val="75000"/>
                    </a:schemeClr>
                  </a:solidFill>
                </a:endParaRPr>
              </a:p>
            </xdr:txBody>
          </xdr:sp>
          <xdr:sp macro="" textlink="'Sprint Summary | data'!K74">
            <xdr:nvSpPr>
              <xdr:cNvPr id="159" name="TextBox 158">
                <a:extLst>
                  <a:ext uri="{FF2B5EF4-FFF2-40B4-BE49-F238E27FC236}">
                    <a16:creationId xmlns:a16="http://schemas.microsoft.com/office/drawing/2014/main" id="{E543FC1C-250B-F5F4-8D50-009CBA175DBA}"/>
                  </a:ext>
                </a:extLst>
              </xdr:cNvPr>
              <xdr:cNvSpPr txBox="1"/>
            </xdr:nvSpPr>
            <xdr:spPr>
              <a:xfrm>
                <a:off x="6430961" y="13471594"/>
                <a:ext cx="442111" cy="368807"/>
              </a:xfrm>
              <a:prstGeom prst="rect">
                <a:avLst/>
              </a:prstGeom>
              <a:solidFill>
                <a:schemeClr val="bg1"/>
              </a:solidFill>
              <a:ln w="9525" cmpd="sng">
                <a:solidFill>
                  <a:schemeClr val="bg2">
                    <a:lumMod val="9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75E454B4-9D75-489E-B223-9A82CA0CF018}" type="TxLink">
                  <a:rPr lang="en-US" sz="1100" b="0" i="0" u="none" strike="noStrike">
                    <a:solidFill>
                      <a:schemeClr val="bg2">
                        <a:lumMod val="75000"/>
                      </a:schemeClr>
                    </a:solidFill>
                    <a:latin typeface="Calibri"/>
                    <a:cs typeface="Calibri"/>
                  </a:rPr>
                  <a:pPr algn="ctr"/>
                  <a:t> </a:t>
                </a:fld>
                <a:endParaRPr lang="en-AU" sz="800">
                  <a:solidFill>
                    <a:schemeClr val="bg2">
                      <a:lumMod val="75000"/>
                    </a:schemeClr>
                  </a:solidFill>
                </a:endParaRPr>
              </a:p>
            </xdr:txBody>
          </xdr:sp>
        </xdr:grpSp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E62EC417-070C-5FD2-A8A0-36D3F8B0D54E}"/>
                </a:ext>
              </a:extLst>
            </xdr:cNvPr>
            <xdr:cNvSpPr txBox="1"/>
          </xdr:nvSpPr>
          <xdr:spPr>
            <a:xfrm>
              <a:off x="4928706" y="13473112"/>
              <a:ext cx="73362" cy="372845"/>
            </a:xfrm>
            <a:prstGeom prst="rect">
              <a:avLst/>
            </a:prstGeom>
            <a:solidFill>
              <a:schemeClr val="accent4">
                <a:lumMod val="40000"/>
                <a:lumOff val="6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AU" sz="800">
                <a:solidFill>
                  <a:schemeClr val="bg2">
                    <a:lumMod val="75000"/>
                  </a:schemeClr>
                </a:solidFill>
              </a:endParaRPr>
            </a:p>
          </xdr:txBody>
        </xdr:sp>
      </xdr:grpSp>
      <xdr:grpSp>
        <xdr:nvGrpSpPr>
          <xdr:cNvPr id="149" name="Group 148">
            <a:extLst>
              <a:ext uri="{FF2B5EF4-FFF2-40B4-BE49-F238E27FC236}">
                <a16:creationId xmlns:a16="http://schemas.microsoft.com/office/drawing/2014/main" id="{148E3ED7-082A-4DFE-789D-DCA0AB9D8375}"/>
              </a:ext>
            </a:extLst>
          </xdr:cNvPr>
          <xdr:cNvGrpSpPr/>
        </xdr:nvGrpSpPr>
        <xdr:grpSpPr>
          <a:xfrm>
            <a:off x="11144224" y="14127605"/>
            <a:ext cx="1945953" cy="377608"/>
            <a:chOff x="4928706" y="13830299"/>
            <a:chExt cx="1945953" cy="377608"/>
          </a:xfrm>
        </xdr:grpSpPr>
        <xdr:grpSp>
          <xdr:nvGrpSpPr>
            <xdr:cNvPr id="150" name="Group 149">
              <a:extLst>
                <a:ext uri="{FF2B5EF4-FFF2-40B4-BE49-F238E27FC236}">
                  <a16:creationId xmlns:a16="http://schemas.microsoft.com/office/drawing/2014/main" id="{F5548B30-4326-EBF0-AB67-B86BCFB1670D}"/>
                </a:ext>
              </a:extLst>
            </xdr:cNvPr>
            <xdr:cNvGrpSpPr/>
          </xdr:nvGrpSpPr>
          <xdr:grpSpPr>
            <a:xfrm>
              <a:off x="4985799" y="13835925"/>
              <a:ext cx="1888860" cy="371982"/>
              <a:chOff x="4984212" y="13468419"/>
              <a:chExt cx="1888860" cy="371982"/>
            </a:xfrm>
          </xdr:grpSpPr>
          <xdr:sp macro="" textlink="'Sprint Summary | data'!I75">
            <xdr:nvSpPr>
              <xdr:cNvPr id="152" name="TextBox 151">
                <a:extLst>
                  <a:ext uri="{FF2B5EF4-FFF2-40B4-BE49-F238E27FC236}">
                    <a16:creationId xmlns:a16="http://schemas.microsoft.com/office/drawing/2014/main" id="{0B80095C-A088-04A6-3663-669A040042C2}"/>
                  </a:ext>
                </a:extLst>
              </xdr:cNvPr>
              <xdr:cNvSpPr txBox="1"/>
            </xdr:nvSpPr>
            <xdr:spPr>
              <a:xfrm>
                <a:off x="4984212" y="13468419"/>
                <a:ext cx="1016530" cy="368807"/>
              </a:xfrm>
              <a:prstGeom prst="rect">
                <a:avLst/>
              </a:prstGeom>
              <a:solidFill>
                <a:schemeClr val="bg1"/>
              </a:solidFill>
              <a:ln w="9525" cmpd="sng">
                <a:solidFill>
                  <a:schemeClr val="bg2">
                    <a:lumMod val="9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r"/>
                <a:fld id="{9C317930-4D60-42AE-9A0A-8180259E524C}" type="TxLink">
                  <a:rPr lang="en-US" sz="1100" b="0" i="0" u="none" strike="noStrike">
                    <a:solidFill>
                      <a:schemeClr val="bg2">
                        <a:lumMod val="75000"/>
                      </a:schemeClr>
                    </a:solidFill>
                    <a:latin typeface="Calibri"/>
                    <a:cs typeface="Calibri"/>
                  </a:rPr>
                  <a:pPr algn="r"/>
                  <a:t>Improvement</a:t>
                </a:fld>
                <a:endParaRPr lang="en-AU" sz="800">
                  <a:solidFill>
                    <a:schemeClr val="bg2">
                      <a:lumMod val="75000"/>
                    </a:schemeClr>
                  </a:solidFill>
                </a:endParaRPr>
              </a:p>
            </xdr:txBody>
          </xdr:sp>
          <xdr:sp macro="" textlink="'Sprint Summary | data'!J75">
            <xdr:nvSpPr>
              <xdr:cNvPr id="153" name="TextBox 152">
                <a:extLst>
                  <a:ext uri="{FF2B5EF4-FFF2-40B4-BE49-F238E27FC236}">
                    <a16:creationId xmlns:a16="http://schemas.microsoft.com/office/drawing/2014/main" id="{C280A283-A3F8-BA54-9258-AA43EEA5A4B5}"/>
                  </a:ext>
                </a:extLst>
              </xdr:cNvPr>
              <xdr:cNvSpPr txBox="1"/>
            </xdr:nvSpPr>
            <xdr:spPr>
              <a:xfrm>
                <a:off x="5992812" y="13470006"/>
                <a:ext cx="442111" cy="368807"/>
              </a:xfrm>
              <a:prstGeom prst="rect">
                <a:avLst/>
              </a:prstGeom>
              <a:solidFill>
                <a:schemeClr val="bg1"/>
              </a:solidFill>
              <a:ln w="9525" cmpd="sng">
                <a:solidFill>
                  <a:schemeClr val="bg2">
                    <a:lumMod val="9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73D5017D-E0F5-420F-A64F-1E67D0D31504}" type="TxLink">
                  <a:rPr lang="en-US" sz="1100" b="0" i="0" u="none" strike="noStrike">
                    <a:solidFill>
                      <a:schemeClr val="bg2">
                        <a:lumMod val="75000"/>
                      </a:schemeClr>
                    </a:solidFill>
                    <a:latin typeface="Calibri"/>
                    <a:cs typeface="Calibri"/>
                  </a:rPr>
                  <a:pPr algn="ctr"/>
                  <a:t>0</a:t>
                </a:fld>
                <a:endParaRPr lang="en-AU" sz="800">
                  <a:solidFill>
                    <a:schemeClr val="bg2">
                      <a:lumMod val="75000"/>
                    </a:schemeClr>
                  </a:solidFill>
                </a:endParaRPr>
              </a:p>
            </xdr:txBody>
          </xdr:sp>
          <xdr:sp macro="" textlink="'Sprint Summary | data'!K75">
            <xdr:nvSpPr>
              <xdr:cNvPr id="154" name="TextBox 153">
                <a:extLst>
                  <a:ext uri="{FF2B5EF4-FFF2-40B4-BE49-F238E27FC236}">
                    <a16:creationId xmlns:a16="http://schemas.microsoft.com/office/drawing/2014/main" id="{B9628DE3-9D84-3AF6-91FD-FA40AC01F7D2}"/>
                  </a:ext>
                </a:extLst>
              </xdr:cNvPr>
              <xdr:cNvSpPr txBox="1"/>
            </xdr:nvSpPr>
            <xdr:spPr>
              <a:xfrm>
                <a:off x="6430961" y="13471594"/>
                <a:ext cx="442111" cy="368807"/>
              </a:xfrm>
              <a:prstGeom prst="rect">
                <a:avLst/>
              </a:prstGeom>
              <a:solidFill>
                <a:schemeClr val="bg1"/>
              </a:solidFill>
              <a:ln w="9525" cmpd="sng">
                <a:solidFill>
                  <a:schemeClr val="bg2">
                    <a:lumMod val="9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D28B754F-049D-439F-A2BD-BFFB730CA556}" type="TxLink">
                  <a:rPr lang="en-US" sz="1100" b="0" i="0" u="none" strike="noStrike">
                    <a:solidFill>
                      <a:schemeClr val="bg2">
                        <a:lumMod val="75000"/>
                      </a:schemeClr>
                    </a:solidFill>
                    <a:latin typeface="Calibri"/>
                    <a:cs typeface="Calibri"/>
                  </a:rPr>
                  <a:pPr algn="ctr"/>
                  <a:t> </a:t>
                </a:fld>
                <a:endParaRPr lang="en-AU" sz="800">
                  <a:solidFill>
                    <a:schemeClr val="bg2">
                      <a:lumMod val="75000"/>
                    </a:schemeClr>
                  </a:solidFill>
                </a:endParaRPr>
              </a:p>
            </xdr:txBody>
          </xdr:sp>
        </xdr:grpSp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3FDCDBD5-71B7-F419-ECCB-2035DDC0A6CB}"/>
                </a:ext>
              </a:extLst>
            </xdr:cNvPr>
            <xdr:cNvSpPr txBox="1"/>
          </xdr:nvSpPr>
          <xdr:spPr>
            <a:xfrm>
              <a:off x="4928706" y="13830299"/>
              <a:ext cx="73362" cy="372845"/>
            </a:xfrm>
            <a:prstGeom prst="rect">
              <a:avLst/>
            </a:prstGeom>
            <a:solidFill>
              <a:schemeClr val="accent6">
                <a:lumMod val="40000"/>
                <a:lumOff val="6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AU" sz="800">
                <a:solidFill>
                  <a:schemeClr val="bg2">
                    <a:lumMod val="75000"/>
                  </a:schemeClr>
                </a:solidFill>
              </a:endParaRPr>
            </a:p>
          </xdr:txBody>
        </xdr:sp>
      </xdr:grpSp>
    </xdr:grpSp>
    <xdr:clientData/>
  </xdr:twoCellAnchor>
  <xdr:twoCellAnchor>
    <xdr:from>
      <xdr:col>4</xdr:col>
      <xdr:colOff>2175027</xdr:colOff>
      <xdr:row>16</xdr:row>
      <xdr:rowOff>863473</xdr:rowOff>
    </xdr:from>
    <xdr:to>
      <xdr:col>5</xdr:col>
      <xdr:colOff>714330</xdr:colOff>
      <xdr:row>17</xdr:row>
      <xdr:rowOff>48984</xdr:rowOff>
    </xdr:to>
    <xdr:graphicFrame macro="">
      <xdr:nvGraphicFramePr>
        <xdr:cNvPr id="162" name="Chart 161">
          <a:extLst>
            <a:ext uri="{FF2B5EF4-FFF2-40B4-BE49-F238E27FC236}">
              <a16:creationId xmlns:a16="http://schemas.microsoft.com/office/drawing/2014/main" id="{5287B0F2-5255-994D-BE25-B6C91820B7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94788</xdr:colOff>
      <xdr:row>15</xdr:row>
      <xdr:rowOff>90280</xdr:rowOff>
    </xdr:from>
    <xdr:to>
      <xdr:col>13</xdr:col>
      <xdr:colOff>21559</xdr:colOff>
      <xdr:row>15</xdr:row>
      <xdr:rowOff>652255</xdr:rowOff>
    </xdr:to>
    <xdr:grpSp>
      <xdr:nvGrpSpPr>
        <xdr:cNvPr id="163" name="Group 162">
          <a:extLst>
            <a:ext uri="{FF2B5EF4-FFF2-40B4-BE49-F238E27FC236}">
              <a16:creationId xmlns:a16="http://schemas.microsoft.com/office/drawing/2014/main" id="{3DE4CAF6-8BF5-6943-85BC-EAD6B586183F}"/>
            </a:ext>
          </a:extLst>
        </xdr:cNvPr>
        <xdr:cNvGrpSpPr/>
      </xdr:nvGrpSpPr>
      <xdr:grpSpPr>
        <a:xfrm>
          <a:off x="16807988" y="9666080"/>
          <a:ext cx="4143171" cy="561975"/>
          <a:chOff x="1920876" y="1854200"/>
          <a:chExt cx="3354349" cy="536575"/>
        </a:xfrm>
      </xdr:grpSpPr>
      <xdr:sp macro="" textlink="">
        <xdr:nvSpPr>
          <xdr:cNvPr id="164" name="TextBox 163">
            <a:extLst>
              <a:ext uri="{FF2B5EF4-FFF2-40B4-BE49-F238E27FC236}">
                <a16:creationId xmlns:a16="http://schemas.microsoft.com/office/drawing/2014/main" id="{CF205156-0D5F-6A07-1239-2E77EA65C0D5}"/>
              </a:ext>
            </a:extLst>
          </xdr:cNvPr>
          <xdr:cNvSpPr txBox="1"/>
        </xdr:nvSpPr>
        <xdr:spPr>
          <a:xfrm>
            <a:off x="1920876" y="1854200"/>
            <a:ext cx="3221315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 i="0" u="none" strike="noStrike">
                <a:solidFill>
                  <a:schemeClr val="tx1"/>
                </a:solidFill>
                <a:latin typeface="Calibri"/>
                <a:cs typeface="Calibri"/>
              </a:rPr>
              <a:t>Delivery</a:t>
            </a:r>
            <a:r>
              <a:rPr lang="en-US" sz="1600" b="1" i="0" u="none" strike="noStrike" baseline="0">
                <a:solidFill>
                  <a:schemeClr val="tx1"/>
                </a:solidFill>
                <a:latin typeface="Calibri"/>
                <a:cs typeface="Calibri"/>
              </a:rPr>
              <a:t> Allocation | streams</a:t>
            </a:r>
            <a:endParaRPr lang="en-US" sz="1600" b="1" i="0" u="none" strike="noStrike">
              <a:solidFill>
                <a:schemeClr val="tx1"/>
              </a:solidFill>
              <a:latin typeface="Calibri"/>
              <a:cs typeface="Calibri"/>
            </a:endParaRPr>
          </a:p>
        </xdr:txBody>
      </xdr:sp>
      <xdr:sp macro="" textlink="">
        <xdr:nvSpPr>
          <xdr:cNvPr id="165" name="TextBox 164">
            <a:extLst>
              <a:ext uri="{FF2B5EF4-FFF2-40B4-BE49-F238E27FC236}">
                <a16:creationId xmlns:a16="http://schemas.microsoft.com/office/drawing/2014/main" id="{977C2571-D67E-2498-475C-4D56ED11E75C}"/>
              </a:ext>
            </a:extLst>
          </xdr:cNvPr>
          <xdr:cNvSpPr txBox="1"/>
        </xdr:nvSpPr>
        <xdr:spPr>
          <a:xfrm>
            <a:off x="1933574" y="2101850"/>
            <a:ext cx="3341651" cy="288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1" u="none" strike="noStrike">
                <a:solidFill>
                  <a:schemeClr val="bg2">
                    <a:lumMod val="50000"/>
                  </a:schemeClr>
                </a:solidFill>
                <a:latin typeface="Calibri"/>
                <a:cs typeface="Calibri"/>
              </a:rPr>
              <a:t>stream demand</a:t>
            </a:r>
          </a:p>
        </xdr:txBody>
      </xdr:sp>
    </xdr:grpSp>
    <xdr:clientData/>
  </xdr:twoCellAnchor>
  <xdr:twoCellAnchor>
    <xdr:from>
      <xdr:col>9</xdr:col>
      <xdr:colOff>458595</xdr:colOff>
      <xdr:row>15</xdr:row>
      <xdr:rowOff>666888</xdr:rowOff>
    </xdr:from>
    <xdr:to>
      <xdr:col>12</xdr:col>
      <xdr:colOff>1215520</xdr:colOff>
      <xdr:row>16</xdr:row>
      <xdr:rowOff>1012485</xdr:rowOff>
    </xdr:to>
    <xdr:graphicFrame macro="">
      <xdr:nvGraphicFramePr>
        <xdr:cNvPr id="166" name="Chart 165">
          <a:extLst>
            <a:ext uri="{FF2B5EF4-FFF2-40B4-BE49-F238E27FC236}">
              <a16:creationId xmlns:a16="http://schemas.microsoft.com/office/drawing/2014/main" id="{1D2B82ED-53BD-CC44-9E45-F644F42C47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12</xdr:col>
      <xdr:colOff>382313</xdr:colOff>
      <xdr:row>16</xdr:row>
      <xdr:rowOff>589372</xdr:rowOff>
    </xdr:from>
    <xdr:to>
      <xdr:col>12</xdr:col>
      <xdr:colOff>2601824</xdr:colOff>
      <xdr:row>16</xdr:row>
      <xdr:rowOff>1609803</xdr:rowOff>
    </xdr:to>
    <xdr:grpSp>
      <xdr:nvGrpSpPr>
        <xdr:cNvPr id="167" name="Group 166">
          <a:extLst>
            <a:ext uri="{FF2B5EF4-FFF2-40B4-BE49-F238E27FC236}">
              <a16:creationId xmlns:a16="http://schemas.microsoft.com/office/drawing/2014/main" id="{2B66ED31-73C9-BC47-B127-9C45327AAB42}"/>
            </a:ext>
          </a:extLst>
        </xdr:cNvPr>
        <xdr:cNvGrpSpPr/>
      </xdr:nvGrpSpPr>
      <xdr:grpSpPr>
        <a:xfrm>
          <a:off x="18657613" y="11828872"/>
          <a:ext cx="2219511" cy="1020431"/>
          <a:chOff x="20119734" y="13177319"/>
          <a:chExt cx="1947033" cy="1319399"/>
        </a:xfrm>
      </xdr:grpSpPr>
      <xdr:grpSp>
        <xdr:nvGrpSpPr>
          <xdr:cNvPr id="168" name="Group 167">
            <a:extLst>
              <a:ext uri="{FF2B5EF4-FFF2-40B4-BE49-F238E27FC236}">
                <a16:creationId xmlns:a16="http://schemas.microsoft.com/office/drawing/2014/main" id="{BA34B8F7-1883-5C31-610D-554A63BA4462}"/>
              </a:ext>
            </a:extLst>
          </xdr:cNvPr>
          <xdr:cNvGrpSpPr/>
        </xdr:nvGrpSpPr>
        <xdr:grpSpPr>
          <a:xfrm>
            <a:off x="21184886" y="13177319"/>
            <a:ext cx="880260" cy="240203"/>
            <a:chOff x="5992812" y="13470006"/>
            <a:chExt cx="880260" cy="370395"/>
          </a:xfrm>
        </xdr:grpSpPr>
        <xdr:sp macro="" textlink="">
          <xdr:nvSpPr>
            <xdr:cNvPr id="187" name="TextBox 186">
              <a:extLst>
                <a:ext uri="{FF2B5EF4-FFF2-40B4-BE49-F238E27FC236}">
                  <a16:creationId xmlns:a16="http://schemas.microsoft.com/office/drawing/2014/main" id="{C1451327-33EA-B031-65CD-A22FFA8690B8}"/>
                </a:ext>
              </a:extLst>
            </xdr:cNvPr>
            <xdr:cNvSpPr txBox="1"/>
          </xdr:nvSpPr>
          <xdr:spPr>
            <a:xfrm>
              <a:off x="5992812" y="13470006"/>
              <a:ext cx="442111" cy="368807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bg2">
                  <a:lumMod val="9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800" b="1">
                  <a:solidFill>
                    <a:schemeClr val="bg2">
                      <a:lumMod val="75000"/>
                    </a:schemeClr>
                  </a:solidFill>
                </a:rPr>
                <a:t>pts</a:t>
              </a:r>
            </a:p>
          </xdr:txBody>
        </xdr:sp>
        <xdr:sp macro="" textlink="">
          <xdr:nvSpPr>
            <xdr:cNvPr id="188" name="TextBox 187">
              <a:extLst>
                <a:ext uri="{FF2B5EF4-FFF2-40B4-BE49-F238E27FC236}">
                  <a16:creationId xmlns:a16="http://schemas.microsoft.com/office/drawing/2014/main" id="{C7E799D6-C8CA-279B-7400-1310E04B553D}"/>
                </a:ext>
              </a:extLst>
            </xdr:cNvPr>
            <xdr:cNvSpPr txBox="1"/>
          </xdr:nvSpPr>
          <xdr:spPr>
            <a:xfrm>
              <a:off x="6430961" y="13471594"/>
              <a:ext cx="442111" cy="368807"/>
            </a:xfrm>
            <a:prstGeom prst="rect">
              <a:avLst/>
            </a:prstGeom>
            <a:solidFill>
              <a:schemeClr val="bg1"/>
            </a:solidFill>
            <a:ln w="9525" cmpd="sng">
              <a:solidFill>
                <a:schemeClr val="bg2">
                  <a:lumMod val="9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AU" sz="800" b="1">
                  <a:solidFill>
                    <a:schemeClr val="bg2">
                      <a:lumMod val="75000"/>
                    </a:schemeClr>
                  </a:solidFill>
                </a:rPr>
                <a:t>%</a:t>
              </a:r>
            </a:p>
          </xdr:txBody>
        </xdr:sp>
      </xdr:grpSp>
      <xdr:grpSp>
        <xdr:nvGrpSpPr>
          <xdr:cNvPr id="169" name="Group 168">
            <a:extLst>
              <a:ext uri="{FF2B5EF4-FFF2-40B4-BE49-F238E27FC236}">
                <a16:creationId xmlns:a16="http://schemas.microsoft.com/office/drawing/2014/main" id="{84D859BA-5F68-BCE0-F62F-E24B59C4961B}"/>
              </a:ext>
            </a:extLst>
          </xdr:cNvPr>
          <xdr:cNvGrpSpPr/>
        </xdr:nvGrpSpPr>
        <xdr:grpSpPr>
          <a:xfrm>
            <a:off x="20119734" y="13404736"/>
            <a:ext cx="1944366" cy="376020"/>
            <a:chOff x="4928706" y="13473112"/>
            <a:chExt cx="1944366" cy="376020"/>
          </a:xfrm>
        </xdr:grpSpPr>
        <xdr:grpSp>
          <xdr:nvGrpSpPr>
            <xdr:cNvPr id="182" name="Group 181">
              <a:extLst>
                <a:ext uri="{FF2B5EF4-FFF2-40B4-BE49-F238E27FC236}">
                  <a16:creationId xmlns:a16="http://schemas.microsoft.com/office/drawing/2014/main" id="{718B0849-9CC7-9C11-265C-2F5E829DAC75}"/>
                </a:ext>
              </a:extLst>
            </xdr:cNvPr>
            <xdr:cNvGrpSpPr/>
          </xdr:nvGrpSpPr>
          <xdr:grpSpPr>
            <a:xfrm>
              <a:off x="4984212" y="13477150"/>
              <a:ext cx="1888860" cy="371982"/>
              <a:chOff x="4984212" y="13468419"/>
              <a:chExt cx="1888860" cy="371982"/>
            </a:xfrm>
          </xdr:grpSpPr>
          <xdr:sp macro="" textlink="'Sprint Summary | data'!Q40">
            <xdr:nvSpPr>
              <xdr:cNvPr id="184" name="TextBox 183">
                <a:extLst>
                  <a:ext uri="{FF2B5EF4-FFF2-40B4-BE49-F238E27FC236}">
                    <a16:creationId xmlns:a16="http://schemas.microsoft.com/office/drawing/2014/main" id="{12BBF3C6-D2E1-85F5-1FB2-06F9093FB0AB}"/>
                  </a:ext>
                </a:extLst>
              </xdr:cNvPr>
              <xdr:cNvSpPr txBox="1"/>
            </xdr:nvSpPr>
            <xdr:spPr>
              <a:xfrm>
                <a:off x="4984212" y="13468419"/>
                <a:ext cx="1016530" cy="368807"/>
              </a:xfrm>
              <a:prstGeom prst="rect">
                <a:avLst/>
              </a:prstGeom>
              <a:solidFill>
                <a:schemeClr val="bg1"/>
              </a:solidFill>
              <a:ln w="9525" cmpd="sng">
                <a:solidFill>
                  <a:schemeClr val="bg2">
                    <a:lumMod val="9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r"/>
                <a:fld id="{C4FC4F5B-0F81-4CC6-BCCE-1392E3ECB1FA}" type="TxLink">
                  <a:rPr lang="en-US" sz="1100" b="0" i="0" u="none" strike="noStrike">
                    <a:solidFill>
                      <a:schemeClr val="bg2">
                        <a:lumMod val="75000"/>
                      </a:schemeClr>
                    </a:solidFill>
                    <a:latin typeface="Calibri"/>
                    <a:cs typeface="Calibri"/>
                  </a:rPr>
                  <a:pPr algn="r"/>
                  <a:t>component1</a:t>
                </a:fld>
                <a:endParaRPr lang="en-AU" sz="800">
                  <a:solidFill>
                    <a:schemeClr val="bg2">
                      <a:lumMod val="75000"/>
                    </a:schemeClr>
                  </a:solidFill>
                </a:endParaRPr>
              </a:p>
            </xdr:txBody>
          </xdr:sp>
          <xdr:sp macro="" textlink="'Sprint Summary | data'!R40">
            <xdr:nvSpPr>
              <xdr:cNvPr id="185" name="TextBox 184">
                <a:extLst>
                  <a:ext uri="{FF2B5EF4-FFF2-40B4-BE49-F238E27FC236}">
                    <a16:creationId xmlns:a16="http://schemas.microsoft.com/office/drawing/2014/main" id="{723EC189-21F1-2D18-E73E-3D3217B6DE73}"/>
                  </a:ext>
                </a:extLst>
              </xdr:cNvPr>
              <xdr:cNvSpPr txBox="1"/>
            </xdr:nvSpPr>
            <xdr:spPr>
              <a:xfrm>
                <a:off x="5992812" y="13470006"/>
                <a:ext cx="442111" cy="368807"/>
              </a:xfrm>
              <a:prstGeom prst="rect">
                <a:avLst/>
              </a:prstGeom>
              <a:solidFill>
                <a:schemeClr val="bg1"/>
              </a:solidFill>
              <a:ln w="9525" cmpd="sng">
                <a:solidFill>
                  <a:schemeClr val="bg2">
                    <a:lumMod val="9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FB138D66-0DBF-43CB-83DF-6431CED93D38}" type="TxLink">
                  <a:rPr lang="en-US" sz="1100" b="0" i="0" u="none" strike="noStrike">
                    <a:solidFill>
                      <a:schemeClr val="bg2">
                        <a:lumMod val="75000"/>
                      </a:schemeClr>
                    </a:solidFill>
                    <a:latin typeface="Calibri"/>
                    <a:cs typeface="Calibri"/>
                  </a:rPr>
                  <a:pPr algn="ctr"/>
                  <a:t>0</a:t>
                </a:fld>
                <a:endParaRPr lang="en-AU" sz="800">
                  <a:solidFill>
                    <a:schemeClr val="bg2">
                      <a:lumMod val="75000"/>
                    </a:schemeClr>
                  </a:solidFill>
                </a:endParaRPr>
              </a:p>
            </xdr:txBody>
          </xdr:sp>
          <xdr:sp macro="" textlink="'Sprint Summary | data'!S40">
            <xdr:nvSpPr>
              <xdr:cNvPr id="186" name="TextBox 185">
                <a:extLst>
                  <a:ext uri="{FF2B5EF4-FFF2-40B4-BE49-F238E27FC236}">
                    <a16:creationId xmlns:a16="http://schemas.microsoft.com/office/drawing/2014/main" id="{299547DD-D10D-0F6E-854B-5345D30A8E02}"/>
                  </a:ext>
                </a:extLst>
              </xdr:cNvPr>
              <xdr:cNvSpPr txBox="1"/>
            </xdr:nvSpPr>
            <xdr:spPr>
              <a:xfrm>
                <a:off x="6430961" y="13471594"/>
                <a:ext cx="442111" cy="368807"/>
              </a:xfrm>
              <a:prstGeom prst="rect">
                <a:avLst/>
              </a:prstGeom>
              <a:solidFill>
                <a:schemeClr val="bg1"/>
              </a:solidFill>
              <a:ln w="9525" cmpd="sng">
                <a:solidFill>
                  <a:schemeClr val="bg2">
                    <a:lumMod val="9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6B22C83B-1412-48C0-920D-3396927F049D}" type="TxLink">
                  <a:rPr lang="en-US" sz="1100" b="0" i="0" u="none" strike="noStrike">
                    <a:solidFill>
                      <a:schemeClr val="bg2">
                        <a:lumMod val="75000"/>
                      </a:schemeClr>
                    </a:solidFill>
                    <a:latin typeface="Calibri"/>
                    <a:cs typeface="Calibri"/>
                  </a:rPr>
                  <a:pPr algn="ctr"/>
                  <a:t>#DIV/0!</a:t>
                </a:fld>
                <a:endParaRPr lang="en-AU" sz="800">
                  <a:solidFill>
                    <a:schemeClr val="bg2">
                      <a:lumMod val="75000"/>
                    </a:schemeClr>
                  </a:solidFill>
                </a:endParaRPr>
              </a:p>
            </xdr:txBody>
          </xdr:sp>
        </xdr:grpSp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840D852D-63DF-7F2D-D306-BAFF9E3B174E}"/>
                </a:ext>
              </a:extLst>
            </xdr:cNvPr>
            <xdr:cNvSpPr txBox="1"/>
          </xdr:nvSpPr>
          <xdr:spPr>
            <a:xfrm>
              <a:off x="4928706" y="13473112"/>
              <a:ext cx="73362" cy="372845"/>
            </a:xfrm>
            <a:prstGeom prst="rect">
              <a:avLst/>
            </a:prstGeom>
            <a:solidFill>
              <a:schemeClr val="accent5">
                <a:lumMod val="60000"/>
                <a:lumOff val="4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AU" sz="800">
                <a:solidFill>
                  <a:schemeClr val="bg2">
                    <a:lumMod val="75000"/>
                  </a:schemeClr>
                </a:solidFill>
              </a:endParaRPr>
            </a:p>
          </xdr:txBody>
        </xdr:sp>
      </xdr:grpSp>
      <xdr:grpSp>
        <xdr:nvGrpSpPr>
          <xdr:cNvPr id="170" name="Group 169">
            <a:extLst>
              <a:ext uri="{FF2B5EF4-FFF2-40B4-BE49-F238E27FC236}">
                <a16:creationId xmlns:a16="http://schemas.microsoft.com/office/drawing/2014/main" id="{285F0FD2-B014-0698-98BA-E6AB06A894ED}"/>
              </a:ext>
            </a:extLst>
          </xdr:cNvPr>
          <xdr:cNvGrpSpPr/>
        </xdr:nvGrpSpPr>
        <xdr:grpSpPr>
          <a:xfrm>
            <a:off x="20119734" y="13761923"/>
            <a:ext cx="1945953" cy="377608"/>
            <a:chOff x="4928706" y="13830299"/>
            <a:chExt cx="1945953" cy="377608"/>
          </a:xfrm>
        </xdr:grpSpPr>
        <xdr:grpSp>
          <xdr:nvGrpSpPr>
            <xdr:cNvPr id="177" name="Group 176">
              <a:extLst>
                <a:ext uri="{FF2B5EF4-FFF2-40B4-BE49-F238E27FC236}">
                  <a16:creationId xmlns:a16="http://schemas.microsoft.com/office/drawing/2014/main" id="{A48B2023-C569-110A-A7A5-16986E5912C3}"/>
                </a:ext>
              </a:extLst>
            </xdr:cNvPr>
            <xdr:cNvGrpSpPr/>
          </xdr:nvGrpSpPr>
          <xdr:grpSpPr>
            <a:xfrm>
              <a:off x="4985799" y="13835925"/>
              <a:ext cx="1888860" cy="371982"/>
              <a:chOff x="4984212" y="13468419"/>
              <a:chExt cx="1888860" cy="371982"/>
            </a:xfrm>
          </xdr:grpSpPr>
          <xdr:sp macro="" textlink="'Sprint Summary | data'!Q41">
            <xdr:nvSpPr>
              <xdr:cNvPr id="179" name="TextBox 178">
                <a:extLst>
                  <a:ext uri="{FF2B5EF4-FFF2-40B4-BE49-F238E27FC236}">
                    <a16:creationId xmlns:a16="http://schemas.microsoft.com/office/drawing/2014/main" id="{34BE4CAA-7CCB-E6F0-12C7-C50F4CF4B0C8}"/>
                  </a:ext>
                </a:extLst>
              </xdr:cNvPr>
              <xdr:cNvSpPr txBox="1"/>
            </xdr:nvSpPr>
            <xdr:spPr>
              <a:xfrm>
                <a:off x="4984212" y="13468419"/>
                <a:ext cx="1016530" cy="368807"/>
              </a:xfrm>
              <a:prstGeom prst="rect">
                <a:avLst/>
              </a:prstGeom>
              <a:solidFill>
                <a:schemeClr val="bg1"/>
              </a:solidFill>
              <a:ln w="9525" cmpd="sng">
                <a:solidFill>
                  <a:schemeClr val="bg2">
                    <a:lumMod val="9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r"/>
                <a:fld id="{770F2C65-08B5-4A48-B8F1-25ECA0B661E2}" type="TxLink">
                  <a:rPr lang="en-US" sz="1100" b="0" i="0" u="none" strike="noStrike">
                    <a:solidFill>
                      <a:schemeClr val="bg2">
                        <a:lumMod val="75000"/>
                      </a:schemeClr>
                    </a:solidFill>
                    <a:latin typeface="Calibri"/>
                    <a:cs typeface="Calibri"/>
                  </a:rPr>
                  <a:pPr algn="r"/>
                  <a:t>component2</a:t>
                </a:fld>
                <a:endParaRPr lang="en-AU" sz="800">
                  <a:solidFill>
                    <a:schemeClr val="bg2">
                      <a:lumMod val="75000"/>
                    </a:schemeClr>
                  </a:solidFill>
                </a:endParaRPr>
              </a:p>
            </xdr:txBody>
          </xdr:sp>
          <xdr:sp macro="" textlink="'Sprint Summary | data'!R41">
            <xdr:nvSpPr>
              <xdr:cNvPr id="180" name="TextBox 179">
                <a:extLst>
                  <a:ext uri="{FF2B5EF4-FFF2-40B4-BE49-F238E27FC236}">
                    <a16:creationId xmlns:a16="http://schemas.microsoft.com/office/drawing/2014/main" id="{5B3AA021-9368-263E-5697-3E7467AA20A7}"/>
                  </a:ext>
                </a:extLst>
              </xdr:cNvPr>
              <xdr:cNvSpPr txBox="1"/>
            </xdr:nvSpPr>
            <xdr:spPr>
              <a:xfrm>
                <a:off x="5992812" y="13470006"/>
                <a:ext cx="442111" cy="368807"/>
              </a:xfrm>
              <a:prstGeom prst="rect">
                <a:avLst/>
              </a:prstGeom>
              <a:solidFill>
                <a:schemeClr val="bg1"/>
              </a:solidFill>
              <a:ln w="9525" cmpd="sng">
                <a:solidFill>
                  <a:schemeClr val="bg2">
                    <a:lumMod val="9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AD4916F0-8D72-41D3-87F5-B41EF9C1DC3E}" type="TxLink">
                  <a:rPr lang="en-US" sz="1100" b="0" i="0" u="none" strike="noStrike">
                    <a:solidFill>
                      <a:schemeClr val="bg2">
                        <a:lumMod val="75000"/>
                      </a:schemeClr>
                    </a:solidFill>
                    <a:latin typeface="Calibri"/>
                    <a:cs typeface="Calibri"/>
                  </a:rPr>
                  <a:pPr algn="ctr"/>
                  <a:t>0</a:t>
                </a:fld>
                <a:endParaRPr lang="en-AU" sz="800">
                  <a:solidFill>
                    <a:schemeClr val="bg2">
                      <a:lumMod val="75000"/>
                    </a:schemeClr>
                  </a:solidFill>
                </a:endParaRPr>
              </a:p>
            </xdr:txBody>
          </xdr:sp>
          <xdr:sp macro="" textlink="'Sprint Summary | data'!S41">
            <xdr:nvSpPr>
              <xdr:cNvPr id="181" name="TextBox 180">
                <a:extLst>
                  <a:ext uri="{FF2B5EF4-FFF2-40B4-BE49-F238E27FC236}">
                    <a16:creationId xmlns:a16="http://schemas.microsoft.com/office/drawing/2014/main" id="{F00BDFA1-013E-BB4D-921E-8E1340D028A7}"/>
                  </a:ext>
                </a:extLst>
              </xdr:cNvPr>
              <xdr:cNvSpPr txBox="1"/>
            </xdr:nvSpPr>
            <xdr:spPr>
              <a:xfrm>
                <a:off x="6430961" y="13471594"/>
                <a:ext cx="442111" cy="368807"/>
              </a:xfrm>
              <a:prstGeom prst="rect">
                <a:avLst/>
              </a:prstGeom>
              <a:solidFill>
                <a:schemeClr val="bg1"/>
              </a:solidFill>
              <a:ln w="9525" cmpd="sng">
                <a:solidFill>
                  <a:schemeClr val="bg2">
                    <a:lumMod val="9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C41ED659-1259-449B-BBBF-6852556066DD}" type="TxLink">
                  <a:rPr lang="en-US" sz="1100" b="0" i="0" u="none" strike="noStrike">
                    <a:solidFill>
                      <a:schemeClr val="bg2">
                        <a:lumMod val="75000"/>
                      </a:schemeClr>
                    </a:solidFill>
                    <a:latin typeface="Calibri"/>
                    <a:cs typeface="Calibri"/>
                  </a:rPr>
                  <a:pPr algn="ctr"/>
                  <a:t>#DIV/0!</a:t>
                </a:fld>
                <a:endParaRPr lang="en-AU" sz="800">
                  <a:solidFill>
                    <a:schemeClr val="bg2">
                      <a:lumMod val="75000"/>
                    </a:schemeClr>
                  </a:solidFill>
                </a:endParaRPr>
              </a:p>
            </xdr:txBody>
          </xdr:sp>
        </xdr:grpSp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D222989A-6AC9-62AF-6F9F-94F3FD890E0D}"/>
                </a:ext>
              </a:extLst>
            </xdr:cNvPr>
            <xdr:cNvSpPr txBox="1"/>
          </xdr:nvSpPr>
          <xdr:spPr>
            <a:xfrm>
              <a:off x="4928706" y="13830299"/>
              <a:ext cx="73362" cy="372845"/>
            </a:xfrm>
            <a:prstGeom prst="rect">
              <a:avLst/>
            </a:prstGeom>
            <a:solidFill>
              <a:srgbClr val="9966FF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AU" sz="800">
                <a:solidFill>
                  <a:schemeClr val="bg2">
                    <a:lumMod val="75000"/>
                  </a:schemeClr>
                </a:solidFill>
              </a:endParaRPr>
            </a:p>
          </xdr:txBody>
        </xdr:sp>
      </xdr:grpSp>
      <xdr:grpSp>
        <xdr:nvGrpSpPr>
          <xdr:cNvPr id="171" name="Group 170">
            <a:extLst>
              <a:ext uri="{FF2B5EF4-FFF2-40B4-BE49-F238E27FC236}">
                <a16:creationId xmlns:a16="http://schemas.microsoft.com/office/drawing/2014/main" id="{FAB38CF8-2EBB-24A7-492C-9C69415D0377}"/>
              </a:ext>
            </a:extLst>
          </xdr:cNvPr>
          <xdr:cNvGrpSpPr/>
        </xdr:nvGrpSpPr>
        <xdr:grpSpPr>
          <a:xfrm>
            <a:off x="20119734" y="14122608"/>
            <a:ext cx="1947033" cy="374110"/>
            <a:chOff x="4928706" y="14190984"/>
            <a:chExt cx="1947033" cy="374110"/>
          </a:xfrm>
        </xdr:grpSpPr>
        <xdr:grpSp>
          <xdr:nvGrpSpPr>
            <xdr:cNvPr id="172" name="Group 171">
              <a:extLst>
                <a:ext uri="{FF2B5EF4-FFF2-40B4-BE49-F238E27FC236}">
                  <a16:creationId xmlns:a16="http://schemas.microsoft.com/office/drawing/2014/main" id="{1BDF1E5D-DEA3-D2FD-44AF-1D2E4CCF74FA}"/>
                </a:ext>
              </a:extLst>
            </xdr:cNvPr>
            <xdr:cNvGrpSpPr/>
          </xdr:nvGrpSpPr>
          <xdr:grpSpPr>
            <a:xfrm>
              <a:off x="4986879" y="14190984"/>
              <a:ext cx="1888860" cy="371982"/>
              <a:chOff x="4984212" y="13468419"/>
              <a:chExt cx="1888860" cy="371982"/>
            </a:xfrm>
          </xdr:grpSpPr>
          <xdr:sp macro="" textlink="'Sprint Summary | data'!Q42">
            <xdr:nvSpPr>
              <xdr:cNvPr id="174" name="TextBox 173">
                <a:extLst>
                  <a:ext uri="{FF2B5EF4-FFF2-40B4-BE49-F238E27FC236}">
                    <a16:creationId xmlns:a16="http://schemas.microsoft.com/office/drawing/2014/main" id="{C8800561-BE20-9096-70C5-27774F425D2C}"/>
                  </a:ext>
                </a:extLst>
              </xdr:cNvPr>
              <xdr:cNvSpPr txBox="1"/>
            </xdr:nvSpPr>
            <xdr:spPr>
              <a:xfrm>
                <a:off x="4984212" y="13468419"/>
                <a:ext cx="1016530" cy="368807"/>
              </a:xfrm>
              <a:prstGeom prst="rect">
                <a:avLst/>
              </a:prstGeom>
              <a:solidFill>
                <a:schemeClr val="bg1"/>
              </a:solidFill>
              <a:ln w="9525" cmpd="sng">
                <a:solidFill>
                  <a:schemeClr val="bg2">
                    <a:lumMod val="9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r"/>
                <a:fld id="{F95FEE8B-B0E9-4ABB-B29B-5827101A480A}" type="TxLink">
                  <a:rPr lang="en-US" sz="1100" b="0" i="0" u="none" strike="noStrike">
                    <a:solidFill>
                      <a:schemeClr val="bg2">
                        <a:lumMod val="75000"/>
                      </a:schemeClr>
                    </a:solidFill>
                    <a:latin typeface="Calibri"/>
                    <a:cs typeface="Calibri"/>
                  </a:rPr>
                  <a:pPr algn="r"/>
                  <a:t>component3</a:t>
                </a:fld>
                <a:endParaRPr lang="en-AU" sz="800">
                  <a:solidFill>
                    <a:schemeClr val="bg2">
                      <a:lumMod val="75000"/>
                    </a:schemeClr>
                  </a:solidFill>
                </a:endParaRPr>
              </a:p>
            </xdr:txBody>
          </xdr:sp>
          <xdr:sp macro="" textlink="'Sprint Summary | data'!R42">
            <xdr:nvSpPr>
              <xdr:cNvPr id="175" name="TextBox 174">
                <a:extLst>
                  <a:ext uri="{FF2B5EF4-FFF2-40B4-BE49-F238E27FC236}">
                    <a16:creationId xmlns:a16="http://schemas.microsoft.com/office/drawing/2014/main" id="{30224CEF-C621-4933-D60F-73C2EC577D2D}"/>
                  </a:ext>
                </a:extLst>
              </xdr:cNvPr>
              <xdr:cNvSpPr txBox="1"/>
            </xdr:nvSpPr>
            <xdr:spPr>
              <a:xfrm>
                <a:off x="5992812" y="13470006"/>
                <a:ext cx="442111" cy="368807"/>
              </a:xfrm>
              <a:prstGeom prst="rect">
                <a:avLst/>
              </a:prstGeom>
              <a:solidFill>
                <a:schemeClr val="bg1"/>
              </a:solidFill>
              <a:ln w="9525" cmpd="sng">
                <a:solidFill>
                  <a:schemeClr val="bg2">
                    <a:lumMod val="9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8C04AC73-3CEC-4E0E-95AF-17D3B3E71832}" type="TxLink">
                  <a:rPr lang="en-US" sz="1100" b="0" i="0" u="none" strike="noStrike">
                    <a:solidFill>
                      <a:schemeClr val="bg2">
                        <a:lumMod val="75000"/>
                      </a:schemeClr>
                    </a:solidFill>
                    <a:latin typeface="Calibri"/>
                    <a:cs typeface="Calibri"/>
                  </a:rPr>
                  <a:pPr algn="ctr"/>
                  <a:t>0</a:t>
                </a:fld>
                <a:endParaRPr lang="en-AU" sz="800">
                  <a:solidFill>
                    <a:schemeClr val="bg2">
                      <a:lumMod val="75000"/>
                    </a:schemeClr>
                  </a:solidFill>
                </a:endParaRPr>
              </a:p>
            </xdr:txBody>
          </xdr:sp>
          <xdr:sp macro="" textlink="'Sprint Summary | data'!S42">
            <xdr:nvSpPr>
              <xdr:cNvPr id="176" name="TextBox 175">
                <a:extLst>
                  <a:ext uri="{FF2B5EF4-FFF2-40B4-BE49-F238E27FC236}">
                    <a16:creationId xmlns:a16="http://schemas.microsoft.com/office/drawing/2014/main" id="{6E626BCB-DAD2-F350-6900-A3946B548767}"/>
                  </a:ext>
                </a:extLst>
              </xdr:cNvPr>
              <xdr:cNvSpPr txBox="1"/>
            </xdr:nvSpPr>
            <xdr:spPr>
              <a:xfrm>
                <a:off x="6430961" y="13471594"/>
                <a:ext cx="442111" cy="368807"/>
              </a:xfrm>
              <a:prstGeom prst="rect">
                <a:avLst/>
              </a:prstGeom>
              <a:solidFill>
                <a:schemeClr val="bg1"/>
              </a:solidFill>
              <a:ln w="9525" cmpd="sng">
                <a:solidFill>
                  <a:schemeClr val="bg2">
                    <a:lumMod val="9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E1A50D27-1723-4149-AE0C-C620BFA10CBD}" type="TxLink">
                  <a:rPr lang="en-US" sz="1100" b="0" i="0" u="none" strike="noStrike">
                    <a:solidFill>
                      <a:schemeClr val="bg2">
                        <a:lumMod val="75000"/>
                      </a:schemeClr>
                    </a:solidFill>
                    <a:latin typeface="Calibri"/>
                    <a:cs typeface="Calibri"/>
                  </a:rPr>
                  <a:pPr algn="ctr"/>
                  <a:t>#DIV/0!</a:t>
                </a:fld>
                <a:endParaRPr lang="en-AU" sz="800">
                  <a:solidFill>
                    <a:schemeClr val="bg2">
                      <a:lumMod val="75000"/>
                    </a:schemeClr>
                  </a:solidFill>
                </a:endParaRPr>
              </a:p>
            </xdr:txBody>
          </xdr:sp>
        </xdr:grpSp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42A44933-D51E-AF91-4819-BFF3DB070760}"/>
                </a:ext>
              </a:extLst>
            </xdr:cNvPr>
            <xdr:cNvSpPr txBox="1"/>
          </xdr:nvSpPr>
          <xdr:spPr>
            <a:xfrm>
              <a:off x="4928706" y="14192249"/>
              <a:ext cx="73362" cy="372845"/>
            </a:xfrm>
            <a:prstGeom prst="rect">
              <a:avLst/>
            </a:prstGeom>
            <a:solidFill>
              <a:schemeClr val="accent6">
                <a:lumMod val="60000"/>
                <a:lumOff val="4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AU" sz="800">
                <a:solidFill>
                  <a:schemeClr val="bg2">
                    <a:lumMod val="75000"/>
                  </a:schemeClr>
                </a:solidFill>
              </a:endParaRPr>
            </a:p>
          </xdr:txBody>
        </xdr:sp>
      </xdr:grpSp>
    </xdr:grpSp>
    <xdr:clientData/>
  </xdr:twoCellAnchor>
  <xdr:twoCellAnchor>
    <xdr:from>
      <xdr:col>4</xdr:col>
      <xdr:colOff>133025</xdr:colOff>
      <xdr:row>15</xdr:row>
      <xdr:rowOff>99628</xdr:rowOff>
    </xdr:from>
    <xdr:to>
      <xdr:col>5</xdr:col>
      <xdr:colOff>994602</xdr:colOff>
      <xdr:row>15</xdr:row>
      <xdr:rowOff>876493</xdr:rowOff>
    </xdr:to>
    <xdr:grpSp>
      <xdr:nvGrpSpPr>
        <xdr:cNvPr id="189" name="Group 188">
          <a:extLst>
            <a:ext uri="{FF2B5EF4-FFF2-40B4-BE49-F238E27FC236}">
              <a16:creationId xmlns:a16="http://schemas.microsoft.com/office/drawing/2014/main" id="{3FCC4436-F5D1-F74F-B5C7-F2BB23664427}"/>
            </a:ext>
          </a:extLst>
        </xdr:cNvPr>
        <xdr:cNvGrpSpPr/>
      </xdr:nvGrpSpPr>
      <xdr:grpSpPr>
        <a:xfrm>
          <a:off x="7168825" y="9675428"/>
          <a:ext cx="3579377" cy="776865"/>
          <a:chOff x="1920876" y="1854200"/>
          <a:chExt cx="3354349" cy="441077"/>
        </a:xfrm>
      </xdr:grpSpPr>
      <xdr:sp macro="" textlink="">
        <xdr:nvSpPr>
          <xdr:cNvPr id="190" name="TextBox 189">
            <a:extLst>
              <a:ext uri="{FF2B5EF4-FFF2-40B4-BE49-F238E27FC236}">
                <a16:creationId xmlns:a16="http://schemas.microsoft.com/office/drawing/2014/main" id="{A76510A0-D9FC-1882-B0DB-4D616C44A544}"/>
              </a:ext>
            </a:extLst>
          </xdr:cNvPr>
          <xdr:cNvSpPr txBox="1"/>
        </xdr:nvSpPr>
        <xdr:spPr>
          <a:xfrm>
            <a:off x="1920876" y="1854200"/>
            <a:ext cx="3221315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 i="0" u="none" strike="noStrike">
                <a:solidFill>
                  <a:schemeClr val="tx1"/>
                </a:solidFill>
                <a:latin typeface="Calibri"/>
                <a:cs typeface="Calibri"/>
              </a:rPr>
              <a:t>Emergent Work | planned vs actual</a:t>
            </a:r>
          </a:p>
        </xdr:txBody>
      </xdr:sp>
      <xdr:sp macro="" textlink="">
        <xdr:nvSpPr>
          <xdr:cNvPr id="191" name="TextBox 190">
            <a:extLst>
              <a:ext uri="{FF2B5EF4-FFF2-40B4-BE49-F238E27FC236}">
                <a16:creationId xmlns:a16="http://schemas.microsoft.com/office/drawing/2014/main" id="{B18EA611-ECE5-0DB7-54C0-C4F47E473F90}"/>
              </a:ext>
            </a:extLst>
          </xdr:cNvPr>
          <xdr:cNvSpPr txBox="1"/>
        </xdr:nvSpPr>
        <xdr:spPr>
          <a:xfrm>
            <a:off x="1933574" y="2006352"/>
            <a:ext cx="3341651" cy="2889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0" i="1" u="none" strike="noStrike">
                <a:solidFill>
                  <a:schemeClr val="bg2">
                    <a:lumMod val="50000"/>
                  </a:schemeClr>
                </a:solidFill>
                <a:latin typeface="Calibri"/>
                <a:cs typeface="Calibri"/>
              </a:rPr>
              <a:t>supported BAU / improvement work (completed)</a:t>
            </a:r>
          </a:p>
        </xdr:txBody>
      </xdr:sp>
    </xdr:grpSp>
    <xdr:clientData/>
  </xdr:twoCellAnchor>
  <xdr:twoCellAnchor>
    <xdr:from>
      <xdr:col>4</xdr:col>
      <xdr:colOff>271276</xdr:colOff>
      <xdr:row>15</xdr:row>
      <xdr:rowOff>678128</xdr:rowOff>
    </xdr:from>
    <xdr:to>
      <xdr:col>6</xdr:col>
      <xdr:colOff>251631</xdr:colOff>
      <xdr:row>16</xdr:row>
      <xdr:rowOff>1623722</xdr:rowOff>
    </xdr:to>
    <xdr:grpSp>
      <xdr:nvGrpSpPr>
        <xdr:cNvPr id="192" name="Group 191">
          <a:extLst>
            <a:ext uri="{FF2B5EF4-FFF2-40B4-BE49-F238E27FC236}">
              <a16:creationId xmlns:a16="http://schemas.microsoft.com/office/drawing/2014/main" id="{C7E3A2F7-51A3-F94E-8061-25C1D4F5F510}"/>
            </a:ext>
          </a:extLst>
        </xdr:cNvPr>
        <xdr:cNvGrpSpPr/>
      </xdr:nvGrpSpPr>
      <xdr:grpSpPr>
        <a:xfrm>
          <a:off x="7307076" y="10253928"/>
          <a:ext cx="5415955" cy="2609294"/>
          <a:chOff x="8069630" y="8893314"/>
          <a:chExt cx="5437553" cy="2604281"/>
        </a:xfrm>
      </xdr:grpSpPr>
      <xdr:grpSp>
        <xdr:nvGrpSpPr>
          <xdr:cNvPr id="193" name="Group 192">
            <a:extLst>
              <a:ext uri="{FF2B5EF4-FFF2-40B4-BE49-F238E27FC236}">
                <a16:creationId xmlns:a16="http://schemas.microsoft.com/office/drawing/2014/main" id="{5C3D88C5-0637-B297-8DFD-BFCD19FD978B}"/>
              </a:ext>
            </a:extLst>
          </xdr:cNvPr>
          <xdr:cNvGrpSpPr/>
        </xdr:nvGrpSpPr>
        <xdr:grpSpPr>
          <a:xfrm>
            <a:off x="8069630" y="8893314"/>
            <a:ext cx="4406167" cy="2075931"/>
            <a:chOff x="5203826" y="7785100"/>
            <a:chExt cx="4171950" cy="1466850"/>
          </a:xfrm>
        </xdr:grpSpPr>
        <xdr:graphicFrame macro="">
          <xdr:nvGraphicFramePr>
            <xdr:cNvPr id="198" name="Chart 197">
              <a:extLst>
                <a:ext uri="{FF2B5EF4-FFF2-40B4-BE49-F238E27FC236}">
                  <a16:creationId xmlns:a16="http://schemas.microsoft.com/office/drawing/2014/main" id="{BB614E87-CEF6-AC09-59DF-8B5E07ACE9B2}"/>
                </a:ext>
              </a:extLst>
            </xdr:cNvPr>
            <xdr:cNvGraphicFramePr>
              <a:graphicFrameLocks/>
            </xdr:cNvGraphicFramePr>
          </xdr:nvGraphicFramePr>
          <xdr:xfrm>
            <a:off x="5203826" y="7785100"/>
            <a:ext cx="4171950" cy="14668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5"/>
            </a:graphicData>
          </a:graphic>
        </xdr:graphicFrame>
        <xdr:sp macro="" textlink="'Sprint Summary | data'!K60">
          <xdr:nvSpPr>
            <xdr:cNvPr id="199" name="TextBox 198">
              <a:extLst>
                <a:ext uri="{FF2B5EF4-FFF2-40B4-BE49-F238E27FC236}">
                  <a16:creationId xmlns:a16="http://schemas.microsoft.com/office/drawing/2014/main" id="{BD009379-D561-26F3-7B1A-3341D0408D24}"/>
                </a:ext>
              </a:extLst>
            </xdr:cNvPr>
            <xdr:cNvSpPr txBox="1"/>
          </xdr:nvSpPr>
          <xdr:spPr>
            <a:xfrm>
              <a:off x="6378636" y="8174038"/>
              <a:ext cx="877792" cy="304659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noAutofit/>
            </a:bodyPr>
            <a:lstStyle/>
            <a:p>
              <a:pPr marL="0" indent="0" algn="l"/>
              <a:fld id="{1835D786-65E2-4E93-BC95-9D6D32919267}" type="TxLink">
                <a:rPr lang="en-US" sz="2800" b="1" i="0" u="none" strike="noStrike">
                  <a:solidFill>
                    <a:schemeClr val="bg1"/>
                  </a:solidFill>
                  <a:latin typeface="Calibri"/>
                  <a:ea typeface="+mn-ea"/>
                  <a:cs typeface="Calibri"/>
                </a:rPr>
                <a:pPr marL="0" indent="0" algn="l"/>
                <a:t>0%</a:t>
              </a:fld>
              <a:endParaRPr lang="en-AU" sz="2800" b="1" i="0" u="none" strike="noStrike">
                <a:solidFill>
                  <a:schemeClr val="bg1"/>
                </a:solidFill>
                <a:latin typeface="Calibri"/>
                <a:ea typeface="+mn-ea"/>
                <a:cs typeface="Calibri"/>
              </a:endParaRPr>
            </a:p>
          </xdr:txBody>
        </xdr:sp>
      </xdr:grpSp>
      <xdr:sp macro="" textlink="'Sprint Summary | data'!J62">
        <xdr:nvSpPr>
          <xdr:cNvPr id="194" name="TextBox 193">
            <a:extLst>
              <a:ext uri="{FF2B5EF4-FFF2-40B4-BE49-F238E27FC236}">
                <a16:creationId xmlns:a16="http://schemas.microsoft.com/office/drawing/2014/main" id="{29105DA0-612A-3679-72F7-754E090EA98B}"/>
              </a:ext>
            </a:extLst>
          </xdr:cNvPr>
          <xdr:cNvSpPr txBox="1"/>
        </xdr:nvSpPr>
        <xdr:spPr>
          <a:xfrm>
            <a:off x="12480385" y="10727816"/>
            <a:ext cx="547088" cy="36194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marL="0" indent="0" algn="l"/>
            <a:fld id="{E09289AA-C292-4B98-9C18-4ACAABD056BB}" type="TxLink">
              <a:rPr lang="en-US" sz="2000" b="0" i="0" u="none" strike="noStrike">
                <a:solidFill>
                  <a:schemeClr val="bg2">
                    <a:lumMod val="75000"/>
                  </a:schemeClr>
                </a:solidFill>
                <a:latin typeface="Calibri"/>
                <a:ea typeface="+mn-ea"/>
                <a:cs typeface="Calibri"/>
              </a:rPr>
              <a:pPr marL="0" indent="0" algn="l"/>
              <a:t>0</a:t>
            </a:fld>
            <a:endParaRPr lang="en-AU" sz="2000" b="0" i="0" u="none" strike="noStrike">
              <a:solidFill>
                <a:schemeClr val="bg2">
                  <a:lumMod val="75000"/>
                </a:schemeClr>
              </a:solidFill>
              <a:latin typeface="Calibri"/>
              <a:ea typeface="+mn-ea"/>
              <a:cs typeface="Calibri"/>
            </a:endParaRPr>
          </a:p>
        </xdr:txBody>
      </xdr:sp>
      <xdr:sp macro="" textlink="">
        <xdr:nvSpPr>
          <xdr:cNvPr id="195" name="TextBox 194">
            <a:extLst>
              <a:ext uri="{FF2B5EF4-FFF2-40B4-BE49-F238E27FC236}">
                <a16:creationId xmlns:a16="http://schemas.microsoft.com/office/drawing/2014/main" id="{B1802C07-C7AB-9ACB-280A-E11082560217}"/>
              </a:ext>
            </a:extLst>
          </xdr:cNvPr>
          <xdr:cNvSpPr txBox="1"/>
        </xdr:nvSpPr>
        <xdr:spPr>
          <a:xfrm>
            <a:off x="11563455" y="10716449"/>
            <a:ext cx="1010180" cy="355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en-AU" sz="800">
                <a:solidFill>
                  <a:schemeClr val="bg2">
                    <a:lumMod val="75000"/>
                  </a:schemeClr>
                </a:solidFill>
              </a:rPr>
              <a:t>completed</a:t>
            </a:r>
          </a:p>
          <a:p>
            <a:pPr algn="r"/>
            <a:r>
              <a:rPr lang="en-AU" sz="800">
                <a:solidFill>
                  <a:schemeClr val="bg2">
                    <a:lumMod val="75000"/>
                  </a:schemeClr>
                </a:solidFill>
              </a:rPr>
              <a:t>work items</a:t>
            </a:r>
          </a:p>
        </xdr:txBody>
      </xdr:sp>
      <xdr:sp macro="" textlink="'Sprint Summary | data'!J63">
        <xdr:nvSpPr>
          <xdr:cNvPr id="196" name="TextBox 195">
            <a:extLst>
              <a:ext uri="{FF2B5EF4-FFF2-40B4-BE49-F238E27FC236}">
                <a16:creationId xmlns:a16="http://schemas.microsoft.com/office/drawing/2014/main" id="{C8AA8091-FF26-7A06-6E6C-00AB25195214}"/>
              </a:ext>
            </a:extLst>
          </xdr:cNvPr>
          <xdr:cNvSpPr txBox="1"/>
        </xdr:nvSpPr>
        <xdr:spPr>
          <a:xfrm>
            <a:off x="12478798" y="11098026"/>
            <a:ext cx="1028385" cy="373524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marL="0" indent="0" algn="l"/>
            <a:fld id="{E81F4EBF-D290-4140-8A21-ABA364AD67A3}" type="TxLink">
              <a:rPr lang="en-US" sz="2000" b="0" i="0" u="none" strike="noStrike">
                <a:solidFill>
                  <a:schemeClr val="bg2">
                    <a:lumMod val="75000"/>
                  </a:schemeClr>
                </a:solidFill>
                <a:latin typeface="Calibri"/>
                <a:ea typeface="+mn-ea"/>
                <a:cs typeface="Calibri"/>
              </a:rPr>
              <a:pPr marL="0" indent="0" algn="l"/>
              <a:t>0</a:t>
            </a:fld>
            <a:endParaRPr lang="en-AU" sz="2000" b="0" i="0" u="none" strike="noStrike">
              <a:solidFill>
                <a:schemeClr val="bg2">
                  <a:lumMod val="75000"/>
                </a:schemeClr>
              </a:solidFill>
              <a:latin typeface="Calibri"/>
              <a:ea typeface="+mn-ea"/>
              <a:cs typeface="Calibri"/>
            </a:endParaRPr>
          </a:p>
        </xdr:txBody>
      </xdr:sp>
      <xdr:sp macro="" textlink="">
        <xdr:nvSpPr>
          <xdr:cNvPr id="197" name="TextBox 196">
            <a:extLst>
              <a:ext uri="{FF2B5EF4-FFF2-40B4-BE49-F238E27FC236}">
                <a16:creationId xmlns:a16="http://schemas.microsoft.com/office/drawing/2014/main" id="{5FAB8AE3-DA13-41D8-61FC-C00B1D4F8931}"/>
              </a:ext>
            </a:extLst>
          </xdr:cNvPr>
          <xdr:cNvSpPr txBox="1"/>
        </xdr:nvSpPr>
        <xdr:spPr>
          <a:xfrm>
            <a:off x="11499309" y="11061033"/>
            <a:ext cx="1085587" cy="43656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r"/>
            <a:r>
              <a:rPr lang="en-AU" sz="800">
                <a:solidFill>
                  <a:schemeClr val="bg2">
                    <a:lumMod val="75000"/>
                  </a:schemeClr>
                </a:solidFill>
              </a:rPr>
              <a:t>completed</a:t>
            </a:r>
          </a:p>
          <a:p>
            <a:pPr algn="r"/>
            <a:r>
              <a:rPr lang="en-AU" sz="800">
                <a:solidFill>
                  <a:schemeClr val="bg2">
                    <a:lumMod val="75000"/>
                  </a:schemeClr>
                </a:solidFill>
              </a:rPr>
              <a:t>story</a:t>
            </a:r>
            <a:r>
              <a:rPr lang="en-AU" sz="800" baseline="0">
                <a:solidFill>
                  <a:schemeClr val="bg2">
                    <a:lumMod val="75000"/>
                  </a:schemeClr>
                </a:solidFill>
              </a:rPr>
              <a:t> points</a:t>
            </a:r>
            <a:endParaRPr lang="en-AU" sz="800">
              <a:solidFill>
                <a:schemeClr val="bg2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9</xdr:col>
      <xdr:colOff>93040</xdr:colOff>
      <xdr:row>4</xdr:row>
      <xdr:rowOff>262075</xdr:rowOff>
    </xdr:from>
    <xdr:to>
      <xdr:col>10</xdr:col>
      <xdr:colOff>474689</xdr:colOff>
      <xdr:row>4</xdr:row>
      <xdr:rowOff>724659</xdr:rowOff>
    </xdr:to>
    <xdr:grpSp>
      <xdr:nvGrpSpPr>
        <xdr:cNvPr id="200" name="Group 199">
          <a:extLst>
            <a:ext uri="{FF2B5EF4-FFF2-40B4-BE49-F238E27FC236}">
              <a16:creationId xmlns:a16="http://schemas.microsoft.com/office/drawing/2014/main" id="{B31367FB-A9AC-684A-B66F-85DF1F9D4941}"/>
            </a:ext>
          </a:extLst>
        </xdr:cNvPr>
        <xdr:cNvGrpSpPr/>
      </xdr:nvGrpSpPr>
      <xdr:grpSpPr>
        <a:xfrm>
          <a:off x="16044240" y="4516575"/>
          <a:ext cx="1143649" cy="462584"/>
          <a:chOff x="6839754" y="5534008"/>
          <a:chExt cx="1136266" cy="462584"/>
        </a:xfrm>
      </xdr:grpSpPr>
      <xdr:grpSp>
        <xdr:nvGrpSpPr>
          <xdr:cNvPr id="201" name="Group 200">
            <a:extLst>
              <a:ext uri="{FF2B5EF4-FFF2-40B4-BE49-F238E27FC236}">
                <a16:creationId xmlns:a16="http://schemas.microsoft.com/office/drawing/2014/main" id="{9B380E17-5D64-BEDC-FBB1-11F40D587785}"/>
              </a:ext>
            </a:extLst>
          </xdr:cNvPr>
          <xdr:cNvGrpSpPr/>
        </xdr:nvGrpSpPr>
        <xdr:grpSpPr>
          <a:xfrm>
            <a:off x="6879809" y="5534008"/>
            <a:ext cx="1056756" cy="426868"/>
            <a:chOff x="10571602" y="12122150"/>
            <a:chExt cx="1055275" cy="435887"/>
          </a:xfrm>
        </xdr:grpSpPr>
        <xdr:sp macro="" textlink="">
          <xdr:nvSpPr>
            <xdr:cNvPr id="204" name="Rectangle 203">
              <a:extLst>
                <a:ext uri="{FF2B5EF4-FFF2-40B4-BE49-F238E27FC236}">
                  <a16:creationId xmlns:a16="http://schemas.microsoft.com/office/drawing/2014/main" id="{2D1CFCA5-057B-799E-7715-D26F1EF3150D}"/>
                </a:ext>
              </a:extLst>
            </xdr:cNvPr>
            <xdr:cNvSpPr/>
          </xdr:nvSpPr>
          <xdr:spPr>
            <a:xfrm>
              <a:off x="10571602" y="12185222"/>
              <a:ext cx="1055275" cy="363103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 b="0"/>
            </a:p>
          </xdr:txBody>
        </xdr:sp>
        <xdr:sp macro="" textlink="'Sprint Summary | data'!J40">
          <xdr:nvSpPr>
            <xdr:cNvPr id="205" name="TextBox 204">
              <a:extLst>
                <a:ext uri="{FF2B5EF4-FFF2-40B4-BE49-F238E27FC236}">
                  <a16:creationId xmlns:a16="http://schemas.microsoft.com/office/drawing/2014/main" id="{0CD094D5-4A5E-CA1A-CAF4-783CBC9677E7}"/>
                </a:ext>
              </a:extLst>
            </xdr:cNvPr>
            <xdr:cNvSpPr txBox="1"/>
          </xdr:nvSpPr>
          <xdr:spPr>
            <a:xfrm>
              <a:off x="10647210" y="12144040"/>
              <a:ext cx="548561" cy="413997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indent="0" algn="r"/>
              <a:fld id="{57AA9987-DDD1-4A9F-93DB-2F54DD117971}" type="TxLink">
                <a:rPr lang="en-US" sz="2000" b="0" i="0" u="none" strike="noStrike">
                  <a:solidFill>
                    <a:schemeClr val="bg2">
                      <a:lumMod val="50000"/>
                    </a:schemeClr>
                  </a:solidFill>
                  <a:latin typeface="Calibri"/>
                  <a:ea typeface="+mn-ea"/>
                  <a:cs typeface="Calibri"/>
                </a:rPr>
                <a:pPr marL="0" indent="0" algn="r"/>
                <a:t>0</a:t>
              </a:fld>
              <a:endParaRPr lang="en-AU" sz="2000" b="0" i="0" u="none" strike="noStrike">
                <a:solidFill>
                  <a:schemeClr val="bg2">
                    <a:lumMod val="50000"/>
                  </a:schemeClr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">
          <xdr:nvSpPr>
            <xdr:cNvPr id="206" name="TextBox 205">
              <a:extLst>
                <a:ext uri="{FF2B5EF4-FFF2-40B4-BE49-F238E27FC236}">
                  <a16:creationId xmlns:a16="http://schemas.microsoft.com/office/drawing/2014/main" id="{F734A0B3-F097-795E-7AF6-583AC2A3064F}"/>
                </a:ext>
              </a:extLst>
            </xdr:cNvPr>
            <xdr:cNvSpPr txBox="1"/>
          </xdr:nvSpPr>
          <xdr:spPr>
            <a:xfrm>
              <a:off x="11017240" y="12122150"/>
              <a:ext cx="350512" cy="413997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algn="ctr"/>
              <a:r>
                <a:rPr lang="en-US" sz="2000" b="0" i="0" u="none" strike="noStrike">
                  <a:solidFill>
                    <a:schemeClr val="bg2">
                      <a:lumMod val="50000"/>
                    </a:schemeClr>
                  </a:solidFill>
                  <a:latin typeface="Calibri"/>
                  <a:cs typeface="Calibri"/>
                </a:rPr>
                <a:t>:</a:t>
              </a:r>
            </a:p>
          </xdr:txBody>
        </xdr:sp>
        <xdr:sp macro="" textlink="'Sprint Summary | data'!J41">
          <xdr:nvSpPr>
            <xdr:cNvPr id="207" name="TextBox 206">
              <a:extLst>
                <a:ext uri="{FF2B5EF4-FFF2-40B4-BE49-F238E27FC236}">
                  <a16:creationId xmlns:a16="http://schemas.microsoft.com/office/drawing/2014/main" id="{37A0EDA7-2C23-A0AE-5B1A-DD29B9661AA6}"/>
                </a:ext>
              </a:extLst>
            </xdr:cNvPr>
            <xdr:cNvSpPr txBox="1"/>
          </xdr:nvSpPr>
          <xdr:spPr>
            <a:xfrm>
              <a:off x="11196248" y="12143905"/>
              <a:ext cx="295171" cy="413997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indent="0"/>
              <a:fld id="{B5B07F2D-4E76-485F-B6DA-A8789D13460B}" type="TxLink">
                <a:rPr lang="en-US" sz="2000" b="0" i="0" u="none" strike="noStrike">
                  <a:solidFill>
                    <a:schemeClr val="bg2">
                      <a:lumMod val="50000"/>
                    </a:schemeClr>
                  </a:solidFill>
                  <a:latin typeface="Calibri"/>
                  <a:ea typeface="+mn-ea"/>
                  <a:cs typeface="Calibri"/>
                </a:rPr>
                <a:pPr marL="0" indent="0"/>
                <a:t>1</a:t>
              </a:fld>
              <a:endParaRPr lang="en-US" sz="2000" b="0" i="0" u="none" strike="noStrike">
                <a:solidFill>
                  <a:schemeClr val="bg2">
                    <a:lumMod val="50000"/>
                  </a:schemeClr>
                </a:solidFill>
                <a:latin typeface="Calibri"/>
                <a:ea typeface="+mn-ea"/>
                <a:cs typeface="Calibri"/>
              </a:endParaRPr>
            </a:p>
          </xdr:txBody>
        </xdr:sp>
      </xdr:grpSp>
      <xdr:sp macro="" textlink="">
        <xdr:nvSpPr>
          <xdr:cNvPr id="202" name="TextBox 201">
            <a:extLst>
              <a:ext uri="{FF2B5EF4-FFF2-40B4-BE49-F238E27FC236}">
                <a16:creationId xmlns:a16="http://schemas.microsoft.com/office/drawing/2014/main" id="{8214CDE1-3363-C438-B885-2E3C3DC92270}"/>
              </a:ext>
            </a:extLst>
          </xdr:cNvPr>
          <xdr:cNvSpPr txBox="1"/>
        </xdr:nvSpPr>
        <xdr:spPr>
          <a:xfrm rot="16200000">
            <a:off x="6726017" y="5665655"/>
            <a:ext cx="444674" cy="21719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AU" sz="800" b="0">
                <a:solidFill>
                  <a:schemeClr val="bg2">
                    <a:lumMod val="75000"/>
                  </a:schemeClr>
                </a:solidFill>
              </a:rPr>
              <a:t>points</a:t>
            </a:r>
          </a:p>
        </xdr:txBody>
      </xdr:sp>
      <xdr:sp macro="" textlink="">
        <xdr:nvSpPr>
          <xdr:cNvPr id="203" name="TextBox 202">
            <a:extLst>
              <a:ext uri="{FF2B5EF4-FFF2-40B4-BE49-F238E27FC236}">
                <a16:creationId xmlns:a16="http://schemas.microsoft.com/office/drawing/2014/main" id="{31D1B912-FBE2-25A0-34D0-9ECA6EE8D6C3}"/>
              </a:ext>
            </a:extLst>
          </xdr:cNvPr>
          <xdr:cNvSpPr txBox="1"/>
        </xdr:nvSpPr>
        <xdr:spPr>
          <a:xfrm rot="16200000">
            <a:off x="7659575" y="5656132"/>
            <a:ext cx="415691" cy="21719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AU" sz="800" b="0">
                <a:solidFill>
                  <a:schemeClr val="bg2">
                    <a:lumMod val="75000"/>
                  </a:schemeClr>
                </a:solidFill>
              </a:rPr>
              <a:t>items</a:t>
            </a:r>
          </a:p>
        </xdr:txBody>
      </xdr:sp>
    </xdr:grp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0.28089</cdr:x>
      <cdr:y>0.52521</cdr:y>
    </cdr:from>
    <cdr:to>
      <cdr:x>0.48586</cdr:x>
      <cdr:y>0.72525</cdr:y>
    </cdr:to>
    <cdr:sp macro="" textlink="'Sprint Summary | data'!$K$59">
      <cdr:nvSpPr>
        <cdr:cNvPr id="2" name="TextBox 50">
          <a:extLst xmlns:a="http://schemas.openxmlformats.org/drawingml/2006/main">
            <a:ext uri="{FF2B5EF4-FFF2-40B4-BE49-F238E27FC236}">
              <a16:creationId xmlns:a16="http://schemas.microsoft.com/office/drawing/2014/main" id="{4B21BA24-0D1E-43F7-9570-F9B52A603B57}"/>
            </a:ext>
          </a:extLst>
        </cdr:cNvPr>
        <cdr:cNvSpPr txBox="1"/>
      </cdr:nvSpPr>
      <cdr:spPr>
        <a:xfrm xmlns:a="http://schemas.openxmlformats.org/drawingml/2006/main">
          <a:off x="1171612" y="1070711"/>
          <a:ext cx="854943" cy="4078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 horzOverflow="clip" wrap="squar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l"/>
          <a:fld id="{398E2566-0CCF-4E5E-809C-ACE11FF51710}" type="TxLink">
            <a:rPr lang="en-US" sz="2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l"/>
            <a:t>#DIV/0!</a:t>
          </a:fld>
          <a:endParaRPr lang="en-AU" sz="28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ctracey/Desktop/metrics%20v0.1/sprint%20metrics%20-%20v0.1.xlsx" TargetMode="External"/><Relationship Id="rId1" Type="http://schemas.openxmlformats.org/officeDocument/2006/relationships/externalLinkPath" Target="file:///C:/Users/ctracey/Desktop/metrics%20v0.1/sprint%20metrics%20-%20v0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export"/>
      <sheetName val="data"/>
      <sheetName val="stats"/>
      <sheetName val="dashboard"/>
    </sheetNames>
    <sheetDataSet>
      <sheetData sheetId="0"/>
      <sheetData sheetId="1"/>
      <sheetData sheetId="2"/>
      <sheetData sheetId="3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B4A96-0427-8C46-A401-92127DEE1A26}">
  <sheetPr>
    <tabColor rgb="FF006600"/>
  </sheetPr>
  <dimension ref="B1:N18"/>
  <sheetViews>
    <sheetView zoomScaleNormal="124" workbookViewId="0">
      <selection activeCell="P3" sqref="P3"/>
    </sheetView>
  </sheetViews>
  <sheetFormatPr baseColWidth="10" defaultColWidth="8.6640625" defaultRowHeight="15" x14ac:dyDescent="0.2"/>
  <cols>
    <col min="1" max="1" width="8.6640625" style="30" customWidth="1"/>
    <col min="2" max="2" width="1.6640625" style="30" customWidth="1"/>
    <col min="3" max="3" width="40.83203125" style="30" customWidth="1"/>
    <col min="4" max="4" width="41.1640625" style="30" customWidth="1"/>
    <col min="5" max="6" width="35.6640625" style="30" customWidth="1"/>
    <col min="7" max="7" width="11.83203125" style="30" customWidth="1"/>
    <col min="8" max="8" width="23.6640625" style="30" customWidth="1"/>
    <col min="9" max="9" width="10.1640625" style="30" customWidth="1"/>
    <col min="10" max="10" width="10" style="30" customWidth="1"/>
    <col min="11" max="11" width="10.1640625" style="30" customWidth="1"/>
    <col min="12" max="12" width="10.33203125" style="30" customWidth="1"/>
    <col min="13" max="13" width="34.83203125" style="109" customWidth="1"/>
    <col min="14" max="14" width="2.1640625" style="30" customWidth="1"/>
    <col min="15" max="16384" width="8.6640625" style="30"/>
  </cols>
  <sheetData>
    <row r="1" spans="2:14" ht="42.5" customHeight="1" x14ac:dyDescent="0.2"/>
    <row r="2" spans="2:14" ht="10.5" customHeight="1" thickBot="1" x14ac:dyDescent="0.25"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110"/>
      <c r="N2" s="29"/>
    </row>
    <row r="3" spans="2:14" ht="137" customHeight="1" thickBot="1" x14ac:dyDescent="0.25">
      <c r="B3" s="29"/>
      <c r="C3" s="125"/>
      <c r="D3" s="126"/>
      <c r="E3" s="126"/>
      <c r="F3" s="126"/>
      <c r="G3" s="126"/>
      <c r="H3" s="126"/>
      <c r="I3" s="126"/>
      <c r="J3" s="126"/>
      <c r="K3" s="126"/>
      <c r="L3" s="126"/>
      <c r="M3" s="127"/>
      <c r="N3" s="31"/>
    </row>
    <row r="4" spans="2:14" ht="146" customHeight="1" x14ac:dyDescent="0.2">
      <c r="B4" s="29"/>
      <c r="C4" s="97"/>
      <c r="D4" s="98"/>
      <c r="E4" s="128"/>
      <c r="F4" s="128"/>
      <c r="G4" s="119"/>
      <c r="H4" s="123"/>
      <c r="I4" s="123"/>
      <c r="J4" s="120"/>
      <c r="K4" s="119"/>
      <c r="L4" s="123"/>
      <c r="M4" s="120"/>
      <c r="N4" s="31"/>
    </row>
    <row r="5" spans="2:14" ht="145" customHeight="1" thickBot="1" x14ac:dyDescent="0.25">
      <c r="B5" s="29"/>
      <c r="C5" s="99"/>
      <c r="D5" s="100"/>
      <c r="E5" s="129"/>
      <c r="F5" s="129"/>
      <c r="G5" s="130"/>
      <c r="H5" s="131"/>
      <c r="I5" s="131"/>
      <c r="J5" s="132"/>
      <c r="K5" s="130"/>
      <c r="L5" s="131"/>
      <c r="M5" s="132"/>
      <c r="N5" s="31"/>
    </row>
    <row r="6" spans="2:14" ht="93" customHeight="1" thickBot="1" x14ac:dyDescent="0.25">
      <c r="B6" s="29"/>
      <c r="C6" s="119"/>
      <c r="D6" s="123"/>
      <c r="E6" s="119"/>
      <c r="F6" s="120"/>
      <c r="G6" s="124"/>
      <c r="H6" s="124"/>
      <c r="I6" s="124"/>
      <c r="J6" s="122"/>
      <c r="K6" s="121"/>
      <c r="L6" s="124"/>
      <c r="M6" s="122"/>
      <c r="N6" s="31"/>
    </row>
    <row r="7" spans="2:14" ht="13" customHeight="1" x14ac:dyDescent="0.2">
      <c r="B7" s="29"/>
      <c r="C7" s="130"/>
      <c r="D7" s="131"/>
      <c r="E7" s="130"/>
      <c r="F7" s="132"/>
      <c r="G7" s="101"/>
      <c r="H7" s="101"/>
      <c r="I7" s="102"/>
      <c r="J7" s="102"/>
      <c r="K7" s="102"/>
      <c r="L7" s="102"/>
      <c r="M7" s="103"/>
      <c r="N7" s="29"/>
    </row>
    <row r="8" spans="2:14" ht="22" customHeight="1" x14ac:dyDescent="0.2">
      <c r="B8" s="29"/>
      <c r="C8" s="130"/>
      <c r="D8" s="131"/>
      <c r="E8" s="130"/>
      <c r="F8" s="132"/>
      <c r="G8" s="104"/>
      <c r="H8" s="105"/>
      <c r="I8" s="133" t="s">
        <v>157</v>
      </c>
      <c r="J8" s="133"/>
      <c r="K8" s="133" t="s">
        <v>158</v>
      </c>
      <c r="L8" s="133"/>
      <c r="M8" s="106"/>
      <c r="N8" s="29"/>
    </row>
    <row r="9" spans="2:14" ht="22" customHeight="1" x14ac:dyDescent="0.2">
      <c r="B9" s="29"/>
      <c r="C9" s="130"/>
      <c r="D9" s="131"/>
      <c r="E9" s="130"/>
      <c r="F9" s="132"/>
      <c r="G9" s="104"/>
      <c r="H9" s="113" t="s">
        <v>9</v>
      </c>
      <c r="I9" s="116">
        <f>'Sprint Summary | data'!R18</f>
        <v>0</v>
      </c>
      <c r="J9" s="116" t="e">
        <f>'Sprint Summary | data'!S18</f>
        <v>#DIV/0!</v>
      </c>
      <c r="K9" s="116">
        <f>'Sprint Summary | data'!T18</f>
        <v>0</v>
      </c>
      <c r="L9" s="116" t="e">
        <f>'Sprint Summary | data'!U18</f>
        <v>#DIV/0!</v>
      </c>
      <c r="M9" s="111"/>
      <c r="N9" s="29"/>
    </row>
    <row r="10" spans="2:14" ht="22" customHeight="1" x14ac:dyDescent="0.2">
      <c r="B10" s="29"/>
      <c r="C10" s="130"/>
      <c r="D10" s="131"/>
      <c r="E10" s="130"/>
      <c r="F10" s="132"/>
      <c r="G10" s="104"/>
      <c r="H10" s="114" t="s">
        <v>10</v>
      </c>
      <c r="I10" s="117">
        <f>'Sprint Summary | data'!R19</f>
        <v>0</v>
      </c>
      <c r="J10" s="117" t="e">
        <f>'Sprint Summary | data'!S19</f>
        <v>#DIV/0!</v>
      </c>
      <c r="K10" s="117">
        <f>'Sprint Summary | data'!T19</f>
        <v>0</v>
      </c>
      <c r="L10" s="117" t="e">
        <f>'Sprint Summary | data'!U19</f>
        <v>#DIV/0!</v>
      </c>
      <c r="M10" s="112">
        <f>IF('Sprint Summary | data'!R28,1,0)</f>
        <v>0</v>
      </c>
      <c r="N10" s="29"/>
    </row>
    <row r="11" spans="2:14" ht="22" customHeight="1" x14ac:dyDescent="0.2">
      <c r="B11" s="29"/>
      <c r="C11" s="130"/>
      <c r="D11" s="131"/>
      <c r="E11" s="130"/>
      <c r="F11" s="132"/>
      <c r="G11" s="104"/>
      <c r="H11" s="115" t="s">
        <v>56</v>
      </c>
      <c r="I11" s="118">
        <f>'Sprint Summary | data'!R20</f>
        <v>0</v>
      </c>
      <c r="J11" s="118" t="e">
        <f>'Sprint Summary | data'!S20</f>
        <v>#DIV/0!</v>
      </c>
      <c r="K11" s="118">
        <f>'Sprint Summary | data'!T20</f>
        <v>0</v>
      </c>
      <c r="L11" s="118" t="e">
        <f>'Sprint Summary | data'!U20</f>
        <v>#DIV/0!</v>
      </c>
      <c r="M11" s="112">
        <f>IF('Sprint Summary | data'!R29,1,0)</f>
        <v>0</v>
      </c>
      <c r="N11" s="29"/>
    </row>
    <row r="12" spans="2:14" ht="22" customHeight="1" x14ac:dyDescent="0.2">
      <c r="B12" s="29"/>
      <c r="C12" s="130"/>
      <c r="D12" s="131"/>
      <c r="E12" s="130"/>
      <c r="F12" s="132"/>
      <c r="G12" s="104"/>
      <c r="H12" s="113" t="s">
        <v>277</v>
      </c>
      <c r="I12" s="116">
        <f>'Sprint Summary | data'!R21</f>
        <v>0</v>
      </c>
      <c r="J12" s="116" t="e">
        <f>'Sprint Summary | data'!S21</f>
        <v>#DIV/0!</v>
      </c>
      <c r="K12" s="116">
        <f>'Sprint Summary | data'!T21</f>
        <v>0</v>
      </c>
      <c r="L12" s="116" t="e">
        <f>'Sprint Summary | data'!U21</f>
        <v>#DIV/0!</v>
      </c>
      <c r="M12" s="111"/>
      <c r="N12" s="29"/>
    </row>
    <row r="13" spans="2:14" ht="22" customHeight="1" x14ac:dyDescent="0.2">
      <c r="B13" s="29"/>
      <c r="C13" s="130"/>
      <c r="D13" s="131"/>
      <c r="E13" s="130"/>
      <c r="F13" s="132"/>
      <c r="G13" s="104"/>
      <c r="H13" s="113" t="s">
        <v>57</v>
      </c>
      <c r="I13" s="116">
        <f>'Sprint Summary | data'!R22</f>
        <v>0</v>
      </c>
      <c r="J13" s="116" t="e">
        <f>'Sprint Summary | data'!S22</f>
        <v>#DIV/0!</v>
      </c>
      <c r="K13" s="116">
        <f>'Sprint Summary | data'!T22</f>
        <v>0</v>
      </c>
      <c r="L13" s="116" t="e">
        <f>'Sprint Summary | data'!U22</f>
        <v>#DIV/0!</v>
      </c>
      <c r="M13" s="106"/>
      <c r="N13" s="29"/>
    </row>
    <row r="14" spans="2:14" ht="22" customHeight="1" x14ac:dyDescent="0.2">
      <c r="B14" s="29"/>
      <c r="C14" s="130"/>
      <c r="D14" s="131"/>
      <c r="E14" s="130"/>
      <c r="F14" s="132"/>
      <c r="G14" s="104"/>
      <c r="H14" s="113" t="s">
        <v>58</v>
      </c>
      <c r="I14" s="116">
        <f>'Sprint Summary | data'!R23</f>
        <v>0</v>
      </c>
      <c r="J14" s="116" t="e">
        <f>'Sprint Summary | data'!S23</f>
        <v>#DIV/0!</v>
      </c>
      <c r="K14" s="116">
        <f>'Sprint Summary | data'!T23</f>
        <v>0</v>
      </c>
      <c r="L14" s="116" t="e">
        <f>'Sprint Summary | data'!U23</f>
        <v>#DIV/0!</v>
      </c>
      <c r="M14" s="106"/>
      <c r="N14" s="29"/>
    </row>
    <row r="15" spans="2:14" ht="14" customHeight="1" thickBot="1" x14ac:dyDescent="0.25">
      <c r="B15" s="29"/>
      <c r="C15" s="121"/>
      <c r="D15" s="124"/>
      <c r="E15" s="121"/>
      <c r="F15" s="122"/>
      <c r="G15" s="107"/>
      <c r="H15" s="107"/>
      <c r="I15" s="107"/>
      <c r="J15" s="107"/>
      <c r="K15" s="107"/>
      <c r="L15" s="107"/>
      <c r="M15" s="108"/>
      <c r="N15" s="29"/>
    </row>
    <row r="16" spans="2:14" ht="131" customHeight="1" x14ac:dyDescent="0.2">
      <c r="B16" s="29"/>
      <c r="C16" s="119"/>
      <c r="D16" s="120"/>
      <c r="E16" s="119"/>
      <c r="F16" s="123"/>
      <c r="G16" s="123"/>
      <c r="H16" s="123"/>
      <c r="I16" s="123"/>
      <c r="J16" s="123"/>
      <c r="K16" s="123"/>
      <c r="L16" s="123"/>
      <c r="M16" s="120"/>
      <c r="N16" s="29"/>
    </row>
    <row r="17" spans="2:14" ht="131" customHeight="1" thickBot="1" x14ac:dyDescent="0.25">
      <c r="B17" s="29"/>
      <c r="C17" s="121"/>
      <c r="D17" s="122"/>
      <c r="E17" s="121"/>
      <c r="F17" s="124"/>
      <c r="G17" s="124"/>
      <c r="H17" s="124"/>
      <c r="I17" s="124"/>
      <c r="J17" s="124"/>
      <c r="K17" s="124"/>
      <c r="L17" s="124"/>
      <c r="M17" s="122"/>
      <c r="N17" s="31"/>
    </row>
    <row r="18" spans="2:14" ht="10" customHeight="1" x14ac:dyDescent="0.2"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110"/>
      <c r="N18" s="29"/>
    </row>
  </sheetData>
  <mergeCells count="13">
    <mergeCell ref="C16:D17"/>
    <mergeCell ref="E16:F17"/>
    <mergeCell ref="G16:J17"/>
    <mergeCell ref="K16:M17"/>
    <mergeCell ref="C3:M3"/>
    <mergeCell ref="E4:E5"/>
    <mergeCell ref="F4:F5"/>
    <mergeCell ref="G4:J6"/>
    <mergeCell ref="K4:M6"/>
    <mergeCell ref="C6:D15"/>
    <mergeCell ref="E6:F15"/>
    <mergeCell ref="I8:J8"/>
    <mergeCell ref="K8:L8"/>
  </mergeCells>
  <conditionalFormatting sqref="M10:M11">
    <cfRule type="iconSet" priority="1">
      <iconSet iconSet="3Symbols">
        <cfvo type="percent" val="0"/>
        <cfvo type="percent" val="0"/>
        <cfvo type="num" val="1"/>
      </iconSe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75CEFC97-8C1B-5847-8FD4-13A1E671284E}">
            <xm:f>'Sprint Summary | data'!$R$28</xm:f>
            <x14:dxf>
              <fill>
                <patternFill>
                  <bgColor rgb="FF92D050"/>
                </patternFill>
              </fill>
            </x14:dxf>
          </x14:cfRule>
          <xm:sqref>H10:L10</xm:sqref>
        </x14:conditionalFormatting>
        <x14:conditionalFormatting xmlns:xm="http://schemas.microsoft.com/office/excel/2006/main">
          <x14:cfRule type="expression" priority="3" id="{8BCD7637-035E-A940-BD60-156077A1F460}">
            <xm:f>'Sprint Summary | data'!$R$29</xm:f>
            <x14:dxf>
              <fill>
                <patternFill>
                  <bgColor rgb="FF92D050"/>
                </patternFill>
              </fill>
            </x14:dxf>
          </x14:cfRule>
          <xm:sqref>H11:L11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474D7-0F4B-A04C-B65E-66095711F1F8}">
  <sheetPr>
    <tabColor rgb="FF006600"/>
  </sheetPr>
  <dimension ref="B1:N18"/>
  <sheetViews>
    <sheetView zoomScaleNormal="124" workbookViewId="0">
      <selection activeCell="P3" sqref="P3"/>
    </sheetView>
  </sheetViews>
  <sheetFormatPr baseColWidth="10" defaultColWidth="8.6640625" defaultRowHeight="15" x14ac:dyDescent="0.2"/>
  <cols>
    <col min="1" max="1" width="8.6640625" style="30" customWidth="1"/>
    <col min="2" max="2" width="1.6640625" style="30" customWidth="1"/>
    <col min="3" max="3" width="40.83203125" style="30" customWidth="1"/>
    <col min="4" max="4" width="41.1640625" style="30" customWidth="1"/>
    <col min="5" max="6" width="35.6640625" style="30" customWidth="1"/>
    <col min="7" max="7" width="11.83203125" style="30" customWidth="1"/>
    <col min="8" max="8" width="23.6640625" style="30" customWidth="1"/>
    <col min="9" max="9" width="10.1640625" style="30" customWidth="1"/>
    <col min="10" max="10" width="10" style="30" customWidth="1"/>
    <col min="11" max="11" width="10.1640625" style="30" customWidth="1"/>
    <col min="12" max="12" width="10.33203125" style="30" customWidth="1"/>
    <col min="13" max="13" width="34.83203125" style="109" customWidth="1"/>
    <col min="14" max="14" width="2.1640625" style="30" customWidth="1"/>
    <col min="15" max="16384" width="8.6640625" style="30"/>
  </cols>
  <sheetData>
    <row r="1" spans="2:14" ht="42.5" customHeight="1" x14ac:dyDescent="0.2"/>
    <row r="2" spans="2:14" ht="10.5" customHeight="1" thickBot="1" x14ac:dyDescent="0.25"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110"/>
      <c r="N2" s="29"/>
    </row>
    <row r="3" spans="2:14" ht="137" customHeight="1" thickBot="1" x14ac:dyDescent="0.25">
      <c r="B3" s="29"/>
      <c r="C3" s="125"/>
      <c r="D3" s="126"/>
      <c r="E3" s="126"/>
      <c r="F3" s="126"/>
      <c r="G3" s="126"/>
      <c r="H3" s="126"/>
      <c r="I3" s="126"/>
      <c r="J3" s="126"/>
      <c r="K3" s="126"/>
      <c r="L3" s="126"/>
      <c r="M3" s="127"/>
      <c r="N3" s="31"/>
    </row>
    <row r="4" spans="2:14" ht="146" customHeight="1" x14ac:dyDescent="0.2">
      <c r="B4" s="29"/>
      <c r="C4" s="97"/>
      <c r="D4" s="98"/>
      <c r="E4" s="128"/>
      <c r="F4" s="128"/>
      <c r="G4" s="119"/>
      <c r="H4" s="123"/>
      <c r="I4" s="123"/>
      <c r="J4" s="120"/>
      <c r="K4" s="119"/>
      <c r="L4" s="123"/>
      <c r="M4" s="120"/>
      <c r="N4" s="31"/>
    </row>
    <row r="5" spans="2:14" ht="145" customHeight="1" thickBot="1" x14ac:dyDescent="0.25">
      <c r="B5" s="29"/>
      <c r="C5" s="99"/>
      <c r="D5" s="100"/>
      <c r="E5" s="129"/>
      <c r="F5" s="129"/>
      <c r="G5" s="130"/>
      <c r="H5" s="131"/>
      <c r="I5" s="131"/>
      <c r="J5" s="132"/>
      <c r="K5" s="130"/>
      <c r="L5" s="131"/>
      <c r="M5" s="132"/>
      <c r="N5" s="31"/>
    </row>
    <row r="6" spans="2:14" ht="93" customHeight="1" thickBot="1" x14ac:dyDescent="0.25">
      <c r="B6" s="29"/>
      <c r="C6" s="119"/>
      <c r="D6" s="123"/>
      <c r="E6" s="119"/>
      <c r="F6" s="120"/>
      <c r="G6" s="124"/>
      <c r="H6" s="124"/>
      <c r="I6" s="124"/>
      <c r="J6" s="122"/>
      <c r="K6" s="121"/>
      <c r="L6" s="124"/>
      <c r="M6" s="122"/>
      <c r="N6" s="31"/>
    </row>
    <row r="7" spans="2:14" ht="13" customHeight="1" x14ac:dyDescent="0.2">
      <c r="B7" s="29"/>
      <c r="C7" s="130"/>
      <c r="D7" s="131"/>
      <c r="E7" s="130"/>
      <c r="F7" s="132"/>
      <c r="G7" s="101"/>
      <c r="H7" s="101"/>
      <c r="I7" s="102"/>
      <c r="J7" s="102"/>
      <c r="K7" s="102"/>
      <c r="L7" s="102"/>
      <c r="M7" s="103"/>
      <c r="N7" s="29"/>
    </row>
    <row r="8" spans="2:14" ht="22" customHeight="1" x14ac:dyDescent="0.2">
      <c r="B8" s="29"/>
      <c r="C8" s="130"/>
      <c r="D8" s="131"/>
      <c r="E8" s="130"/>
      <c r="F8" s="132"/>
      <c r="G8" s="104"/>
      <c r="H8" s="105"/>
      <c r="I8" s="133" t="s">
        <v>157</v>
      </c>
      <c r="J8" s="133"/>
      <c r="K8" s="133" t="s">
        <v>158</v>
      </c>
      <c r="L8" s="133"/>
      <c r="M8" s="106"/>
      <c r="N8" s="29"/>
    </row>
    <row r="9" spans="2:14" ht="22" customHeight="1" x14ac:dyDescent="0.2">
      <c r="B9" s="29"/>
      <c r="C9" s="130"/>
      <c r="D9" s="131"/>
      <c r="E9" s="130"/>
      <c r="F9" s="132"/>
      <c r="G9" s="104"/>
      <c r="H9" s="113" t="s">
        <v>9</v>
      </c>
      <c r="I9" s="116">
        <f>'Sprint Summary | data'!R18</f>
        <v>0</v>
      </c>
      <c r="J9" s="116" t="e">
        <f>'Sprint Summary | data'!S18</f>
        <v>#DIV/0!</v>
      </c>
      <c r="K9" s="116">
        <f>'Sprint Summary | data'!T18</f>
        <v>0</v>
      </c>
      <c r="L9" s="116" t="e">
        <f>'Sprint Summary | data'!U18</f>
        <v>#DIV/0!</v>
      </c>
      <c r="M9" s="111"/>
      <c r="N9" s="29"/>
    </row>
    <row r="10" spans="2:14" ht="22" customHeight="1" x14ac:dyDescent="0.2">
      <c r="B10" s="29"/>
      <c r="C10" s="130"/>
      <c r="D10" s="131"/>
      <c r="E10" s="130"/>
      <c r="F10" s="132"/>
      <c r="G10" s="104"/>
      <c r="H10" s="114" t="s">
        <v>10</v>
      </c>
      <c r="I10" s="117">
        <f>'Sprint Summary | data'!R19</f>
        <v>0</v>
      </c>
      <c r="J10" s="117" t="e">
        <f>'Sprint Summary | data'!S19</f>
        <v>#DIV/0!</v>
      </c>
      <c r="K10" s="117">
        <f>'Sprint Summary | data'!T19</f>
        <v>0</v>
      </c>
      <c r="L10" s="117" t="e">
        <f>'Sprint Summary | data'!U19</f>
        <v>#DIV/0!</v>
      </c>
      <c r="M10" s="112">
        <f>IF('Sprint Summary | data'!R28,1,0)</f>
        <v>0</v>
      </c>
      <c r="N10" s="29"/>
    </row>
    <row r="11" spans="2:14" ht="22" customHeight="1" x14ac:dyDescent="0.2">
      <c r="B11" s="29"/>
      <c r="C11" s="130"/>
      <c r="D11" s="131"/>
      <c r="E11" s="130"/>
      <c r="F11" s="132"/>
      <c r="G11" s="104"/>
      <c r="H11" s="115" t="s">
        <v>56</v>
      </c>
      <c r="I11" s="118">
        <f>'Sprint Summary | data'!R20</f>
        <v>0</v>
      </c>
      <c r="J11" s="118" t="e">
        <f>'Sprint Summary | data'!S20</f>
        <v>#DIV/0!</v>
      </c>
      <c r="K11" s="118">
        <f>'Sprint Summary | data'!T20</f>
        <v>0</v>
      </c>
      <c r="L11" s="118" t="e">
        <f>'Sprint Summary | data'!U20</f>
        <v>#DIV/0!</v>
      </c>
      <c r="M11" s="112">
        <f>IF('Sprint Summary | data'!R29,1,0)</f>
        <v>0</v>
      </c>
      <c r="N11" s="29"/>
    </row>
    <row r="12" spans="2:14" ht="22" customHeight="1" x14ac:dyDescent="0.2">
      <c r="B12" s="29"/>
      <c r="C12" s="130"/>
      <c r="D12" s="131"/>
      <c r="E12" s="130"/>
      <c r="F12" s="132"/>
      <c r="G12" s="104"/>
      <c r="H12" s="113" t="s">
        <v>277</v>
      </c>
      <c r="I12" s="116">
        <f>'Sprint Summary | data'!R21</f>
        <v>0</v>
      </c>
      <c r="J12" s="116" t="e">
        <f>'Sprint Summary | data'!S21</f>
        <v>#DIV/0!</v>
      </c>
      <c r="K12" s="116">
        <f>'Sprint Summary | data'!T21</f>
        <v>0</v>
      </c>
      <c r="L12" s="116" t="e">
        <f>'Sprint Summary | data'!U21</f>
        <v>#DIV/0!</v>
      </c>
      <c r="M12" s="111"/>
      <c r="N12" s="29"/>
    </row>
    <row r="13" spans="2:14" ht="22" customHeight="1" x14ac:dyDescent="0.2">
      <c r="B13" s="29"/>
      <c r="C13" s="130"/>
      <c r="D13" s="131"/>
      <c r="E13" s="130"/>
      <c r="F13" s="132"/>
      <c r="G13" s="104"/>
      <c r="H13" s="113" t="s">
        <v>57</v>
      </c>
      <c r="I13" s="116">
        <f>'Sprint Summary | data'!R22</f>
        <v>0</v>
      </c>
      <c r="J13" s="116" t="e">
        <f>'Sprint Summary | data'!S22</f>
        <v>#DIV/0!</v>
      </c>
      <c r="K13" s="116">
        <f>'Sprint Summary | data'!T22</f>
        <v>0</v>
      </c>
      <c r="L13" s="116" t="e">
        <f>'Sprint Summary | data'!U22</f>
        <v>#DIV/0!</v>
      </c>
      <c r="M13" s="106"/>
      <c r="N13" s="29"/>
    </row>
    <row r="14" spans="2:14" ht="22" customHeight="1" x14ac:dyDescent="0.2">
      <c r="B14" s="29"/>
      <c r="C14" s="130"/>
      <c r="D14" s="131"/>
      <c r="E14" s="130"/>
      <c r="F14" s="132"/>
      <c r="G14" s="104"/>
      <c r="H14" s="113" t="s">
        <v>58</v>
      </c>
      <c r="I14" s="116">
        <f>'Sprint Summary | data'!R23</f>
        <v>0</v>
      </c>
      <c r="J14" s="116" t="e">
        <f>'Sprint Summary | data'!S23</f>
        <v>#DIV/0!</v>
      </c>
      <c r="K14" s="116">
        <f>'Sprint Summary | data'!T23</f>
        <v>0</v>
      </c>
      <c r="L14" s="116" t="e">
        <f>'Sprint Summary | data'!U23</f>
        <v>#DIV/0!</v>
      </c>
      <c r="M14" s="106"/>
      <c r="N14" s="29"/>
    </row>
    <row r="15" spans="2:14" ht="14" customHeight="1" thickBot="1" x14ac:dyDescent="0.25">
      <c r="B15" s="29"/>
      <c r="C15" s="121"/>
      <c r="D15" s="124"/>
      <c r="E15" s="121"/>
      <c r="F15" s="122"/>
      <c r="G15" s="107"/>
      <c r="H15" s="107"/>
      <c r="I15" s="107"/>
      <c r="J15" s="107"/>
      <c r="K15" s="107"/>
      <c r="L15" s="107"/>
      <c r="M15" s="108"/>
      <c r="N15" s="29"/>
    </row>
    <row r="16" spans="2:14" ht="131" customHeight="1" x14ac:dyDescent="0.2">
      <c r="B16" s="29"/>
      <c r="C16" s="119"/>
      <c r="D16" s="120"/>
      <c r="E16" s="119"/>
      <c r="F16" s="120"/>
      <c r="G16" s="119"/>
      <c r="H16" s="123"/>
      <c r="I16" s="123"/>
      <c r="J16" s="120"/>
      <c r="K16" s="119"/>
      <c r="L16" s="123"/>
      <c r="M16" s="120"/>
      <c r="N16" s="29"/>
    </row>
    <row r="17" spans="2:14" ht="131" customHeight="1" thickBot="1" x14ac:dyDescent="0.25">
      <c r="B17" s="29"/>
      <c r="C17" s="121"/>
      <c r="D17" s="122"/>
      <c r="E17" s="121"/>
      <c r="F17" s="122"/>
      <c r="G17" s="121"/>
      <c r="H17" s="124"/>
      <c r="I17" s="124"/>
      <c r="J17" s="122"/>
      <c r="K17" s="121"/>
      <c r="L17" s="124"/>
      <c r="M17" s="122"/>
      <c r="N17" s="31"/>
    </row>
    <row r="18" spans="2:14" ht="10" customHeight="1" x14ac:dyDescent="0.2"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110"/>
      <c r="N18" s="29"/>
    </row>
  </sheetData>
  <mergeCells count="13">
    <mergeCell ref="C16:D17"/>
    <mergeCell ref="E16:F17"/>
    <mergeCell ref="G16:J17"/>
    <mergeCell ref="K16:M17"/>
    <mergeCell ref="C3:M3"/>
    <mergeCell ref="E4:E5"/>
    <mergeCell ref="F4:F5"/>
    <mergeCell ref="G4:J6"/>
    <mergeCell ref="K4:M6"/>
    <mergeCell ref="C6:D15"/>
    <mergeCell ref="E6:F15"/>
    <mergeCell ref="I8:J8"/>
    <mergeCell ref="K8:L8"/>
  </mergeCells>
  <conditionalFormatting sqref="M10:M11">
    <cfRule type="iconSet" priority="1">
      <iconSet iconSet="3Symbols">
        <cfvo type="percent" val="0"/>
        <cfvo type="percent" val="0"/>
        <cfvo type="num" val="1"/>
      </iconSe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A7BBD813-5BA1-6E44-8789-09D61F94AF4B}">
            <xm:f>'Sprint Summary | data'!$R$28</xm:f>
            <x14:dxf>
              <fill>
                <patternFill>
                  <bgColor rgb="FF92D050"/>
                </patternFill>
              </fill>
            </x14:dxf>
          </x14:cfRule>
          <xm:sqref>H10:L10</xm:sqref>
        </x14:conditionalFormatting>
        <x14:conditionalFormatting xmlns:xm="http://schemas.microsoft.com/office/excel/2006/main">
          <x14:cfRule type="expression" priority="3" id="{FE0BB371-FACE-3A41-A7A2-DFF008D01536}">
            <xm:f>'Sprint Summary | data'!$R$29</xm:f>
            <x14:dxf>
              <fill>
                <patternFill>
                  <bgColor rgb="FF92D050"/>
                </patternFill>
              </fill>
            </x14:dxf>
          </x14:cfRule>
          <xm:sqref>H11:L11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FB5D0-997F-4790-A594-9911F672E9B0}">
  <sheetPr>
    <tabColor rgb="FF92D050"/>
  </sheetPr>
  <dimension ref="A1:X76"/>
  <sheetViews>
    <sheetView workbookViewId="0">
      <selection activeCell="R22" sqref="R22"/>
    </sheetView>
  </sheetViews>
  <sheetFormatPr baseColWidth="10" defaultColWidth="8.83203125" defaultRowHeight="15" x14ac:dyDescent="0.2"/>
  <cols>
    <col min="1" max="1" width="38.5" bestFit="1" customWidth="1"/>
    <col min="8" max="8" width="2" style="27" customWidth="1"/>
    <col min="9" max="9" width="23.83203125" customWidth="1"/>
    <col min="10" max="10" width="10.6640625" bestFit="1" customWidth="1"/>
    <col min="11" max="11" width="15.6640625" customWidth="1"/>
    <col min="16" max="16" width="3.1640625" style="28" customWidth="1"/>
    <col min="17" max="17" width="27.6640625" customWidth="1"/>
    <col min="24" max="24" width="3.6640625" style="28" customWidth="1"/>
  </cols>
  <sheetData>
    <row r="1" spans="1:24" s="41" customFormat="1" ht="26" x14ac:dyDescent="0.3">
      <c r="A1" s="41" t="s">
        <v>83</v>
      </c>
    </row>
    <row r="2" spans="1:24" s="37" customFormat="1" x14ac:dyDescent="0.2">
      <c r="A2" s="37" t="s">
        <v>85</v>
      </c>
    </row>
    <row r="3" spans="1:24" x14ac:dyDescent="0.2">
      <c r="H3"/>
      <c r="P3"/>
      <c r="X3"/>
    </row>
    <row r="4" spans="1:24" x14ac:dyDescent="0.2">
      <c r="A4" s="26" t="s">
        <v>38</v>
      </c>
      <c r="B4" s="25"/>
      <c r="C4" s="25"/>
      <c r="D4" s="25"/>
      <c r="E4" s="25"/>
      <c r="F4" s="25"/>
      <c r="G4" s="25"/>
      <c r="H4"/>
      <c r="P4"/>
      <c r="X4"/>
    </row>
    <row r="5" spans="1:24" x14ac:dyDescent="0.2">
      <c r="A5" s="4" t="s">
        <v>139</v>
      </c>
      <c r="B5" s="4">
        <f>'Calculated Stats'!C22</f>
        <v>0</v>
      </c>
      <c r="C5" s="4"/>
      <c r="D5" s="4"/>
      <c r="E5" s="4"/>
      <c r="F5" s="4"/>
      <c r="G5" s="4"/>
      <c r="H5"/>
      <c r="P5"/>
      <c r="X5"/>
    </row>
    <row r="6" spans="1:24" x14ac:dyDescent="0.2">
      <c r="A6" s="4" t="s">
        <v>37</v>
      </c>
      <c r="B6" s="4">
        <f>'processed | data'!B6</f>
        <v>0</v>
      </c>
      <c r="C6" s="4"/>
      <c r="D6" s="4"/>
      <c r="E6" s="4"/>
      <c r="F6" s="4"/>
      <c r="G6" s="4"/>
      <c r="H6"/>
      <c r="P6"/>
      <c r="X6"/>
    </row>
    <row r="7" spans="1:24" x14ac:dyDescent="0.2">
      <c r="A7" s="4" t="s">
        <v>39</v>
      </c>
      <c r="B7" s="4" t="str">
        <f>_xlfn.CONCAT('Calculated Stats'!C23, " - ", 'Calculated Stats'!C24)</f>
        <v>00/01/1900 - 00/01/1900</v>
      </c>
      <c r="C7" s="4"/>
      <c r="D7" s="4"/>
      <c r="E7" s="4"/>
      <c r="F7" s="4"/>
      <c r="G7" s="4"/>
      <c r="H7"/>
      <c r="P7"/>
      <c r="X7"/>
    </row>
    <row r="8" spans="1:24" x14ac:dyDescent="0.2">
      <c r="A8" s="4"/>
      <c r="B8" s="4"/>
      <c r="C8" s="4"/>
      <c r="D8" s="4"/>
      <c r="E8" s="4"/>
      <c r="F8" s="4"/>
      <c r="G8" s="4"/>
      <c r="H8"/>
      <c r="M8" s="26" t="s">
        <v>60</v>
      </c>
      <c r="N8" s="25"/>
      <c r="O8" s="25"/>
      <c r="P8"/>
      <c r="X8"/>
    </row>
    <row r="9" spans="1:24" x14ac:dyDescent="0.2">
      <c r="A9" s="4"/>
      <c r="B9" s="4"/>
      <c r="C9" s="4"/>
      <c r="D9" s="4"/>
      <c r="E9" s="4"/>
      <c r="F9" s="4"/>
      <c r="G9" s="4"/>
      <c r="H9"/>
      <c r="M9" s="4" t="s">
        <v>61</v>
      </c>
      <c r="N9" s="4">
        <f>'Calculated Stats'!C143</f>
        <v>0</v>
      </c>
      <c r="O9" s="4"/>
      <c r="P9"/>
      <c r="X9"/>
    </row>
    <row r="10" spans="1:24" x14ac:dyDescent="0.2">
      <c r="H10"/>
      <c r="M10" s="4" t="s">
        <v>41</v>
      </c>
      <c r="N10" s="4">
        <f>'Calculated Stats'!C140</f>
        <v>0</v>
      </c>
      <c r="O10" s="4"/>
      <c r="P10"/>
      <c r="X10"/>
    </row>
    <row r="11" spans="1:24" x14ac:dyDescent="0.2">
      <c r="H11"/>
      <c r="M11" s="4"/>
      <c r="N11" s="4"/>
      <c r="O11" s="4"/>
      <c r="P11"/>
      <c r="X11"/>
    </row>
    <row r="12" spans="1:24" s="27" customFormat="1" x14ac:dyDescent="0.2">
      <c r="P12" s="28"/>
      <c r="X12" s="28"/>
    </row>
    <row r="13" spans="1:24" x14ac:dyDescent="0.2">
      <c r="A13" s="26" t="s">
        <v>36</v>
      </c>
      <c r="B13" s="25"/>
      <c r="C13" s="25"/>
      <c r="D13" s="25"/>
      <c r="E13" s="25"/>
      <c r="F13" s="25"/>
      <c r="G13" s="25"/>
      <c r="H13" s="28"/>
      <c r="I13" s="26" t="s">
        <v>29</v>
      </c>
      <c r="J13" s="25"/>
      <c r="K13" s="25"/>
      <c r="L13" s="25"/>
      <c r="M13" s="25"/>
      <c r="N13" s="25"/>
      <c r="O13" s="25"/>
      <c r="Q13" s="26" t="s">
        <v>15</v>
      </c>
      <c r="R13" s="26"/>
      <c r="S13" s="26"/>
      <c r="T13" s="26"/>
      <c r="U13" s="26"/>
      <c r="V13" s="26"/>
      <c r="W13" s="26"/>
    </row>
    <row r="14" spans="1:24" x14ac:dyDescent="0.2">
      <c r="A14" s="4"/>
      <c r="B14" s="4"/>
      <c r="C14" s="4"/>
      <c r="D14" s="4"/>
      <c r="E14" s="4"/>
      <c r="F14" s="4"/>
      <c r="G14" s="4"/>
      <c r="H14" s="28"/>
      <c r="I14" s="4"/>
      <c r="J14" s="4"/>
      <c r="K14" s="4"/>
      <c r="L14" s="4"/>
      <c r="M14" s="4"/>
      <c r="N14" s="4"/>
      <c r="O14" s="4"/>
      <c r="Q14" s="4"/>
      <c r="R14" s="4"/>
      <c r="S14" s="4"/>
      <c r="T14" s="4"/>
      <c r="U14" s="4"/>
      <c r="V14" s="4"/>
      <c r="W14" s="4"/>
    </row>
    <row r="15" spans="1:24" x14ac:dyDescent="0.2">
      <c r="A15" s="4" t="s">
        <v>44</v>
      </c>
      <c r="B15" s="4"/>
      <c r="C15" s="4"/>
      <c r="D15" s="4"/>
      <c r="E15" s="4"/>
      <c r="F15" s="4"/>
      <c r="G15" s="4"/>
      <c r="H15" s="28"/>
      <c r="I15" s="4"/>
      <c r="J15" s="4"/>
      <c r="K15" s="4"/>
      <c r="L15" s="4"/>
      <c r="M15" s="4"/>
      <c r="N15" s="4"/>
      <c r="O15" s="4"/>
      <c r="Q15" s="4"/>
      <c r="R15" s="4"/>
      <c r="S15" s="4"/>
      <c r="T15" s="4"/>
      <c r="U15" s="4"/>
      <c r="V15" s="4"/>
      <c r="W15" s="4"/>
    </row>
    <row r="16" spans="1:24" x14ac:dyDescent="0.2">
      <c r="A16" s="4"/>
      <c r="B16" s="4"/>
      <c r="C16" s="4"/>
      <c r="D16" s="4"/>
      <c r="E16" s="4"/>
      <c r="F16" s="4"/>
      <c r="G16" s="4"/>
      <c r="H16" s="28"/>
      <c r="I16" s="4" t="s">
        <v>40</v>
      </c>
      <c r="J16" s="4">
        <f>'Calculated Stats'!C108</f>
        <v>0</v>
      </c>
      <c r="K16" s="4"/>
      <c r="L16" s="4"/>
      <c r="M16" s="4"/>
      <c r="N16" s="4"/>
      <c r="O16" s="4"/>
      <c r="Q16" s="4"/>
      <c r="R16" s="4" t="s">
        <v>6</v>
      </c>
      <c r="S16" s="4"/>
      <c r="T16" s="4" t="s">
        <v>8</v>
      </c>
      <c r="U16" s="4"/>
      <c r="V16" s="4"/>
      <c r="W16" s="4"/>
    </row>
    <row r="17" spans="1:23" x14ac:dyDescent="0.2">
      <c r="H17" s="28"/>
      <c r="I17" s="4"/>
      <c r="J17" s="4"/>
      <c r="K17" s="4"/>
      <c r="L17" s="4"/>
      <c r="M17" s="4"/>
      <c r="N17" s="4"/>
      <c r="O17" s="4"/>
      <c r="Q17" s="4"/>
      <c r="R17" s="4" t="s">
        <v>18</v>
      </c>
      <c r="S17" s="4" t="s">
        <v>7</v>
      </c>
      <c r="T17" s="4" t="s">
        <v>18</v>
      </c>
      <c r="U17" s="4" t="s">
        <v>7</v>
      </c>
      <c r="V17" s="4"/>
      <c r="W17" s="4"/>
    </row>
    <row r="18" spans="1:23" x14ac:dyDescent="0.2">
      <c r="H18" s="28"/>
      <c r="I18" s="32" t="s">
        <v>46</v>
      </c>
      <c r="J18" s="4"/>
      <c r="K18" s="4"/>
      <c r="L18" s="4"/>
      <c r="M18" s="4"/>
      <c r="N18" s="4"/>
      <c r="O18" s="4"/>
      <c r="Q18" s="4" t="s">
        <v>9</v>
      </c>
      <c r="R18" s="4">
        <f>'Calculated Stats'!C106</f>
        <v>0</v>
      </c>
      <c r="S18" s="4" t="e">
        <f>_xlfn.CONCAT('Calculated Stats'!D106, "%")</f>
        <v>#DIV/0!</v>
      </c>
      <c r="T18" s="4">
        <f>'Calculated Stats'!E106</f>
        <v>0</v>
      </c>
      <c r="U18" s="4" t="e">
        <f>_xlfn.CONCAT('Calculated Stats'!F106,"%")</f>
        <v>#DIV/0!</v>
      </c>
      <c r="V18" s="4"/>
      <c r="W18" s="4"/>
    </row>
    <row r="19" spans="1:23" x14ac:dyDescent="0.2">
      <c r="A19" s="26" t="s">
        <v>45</v>
      </c>
      <c r="B19" s="25"/>
      <c r="C19" s="25"/>
      <c r="D19" s="25"/>
      <c r="E19" s="25"/>
      <c r="F19" s="25"/>
      <c r="G19" s="25"/>
      <c r="I19" s="4" t="s">
        <v>28</v>
      </c>
      <c r="J19" s="4">
        <f>'Calculated Stats'!C107</f>
        <v>0</v>
      </c>
      <c r="K19" s="4"/>
      <c r="L19" s="4"/>
      <c r="M19" s="4"/>
      <c r="N19" s="4"/>
      <c r="O19" s="4"/>
      <c r="Q19" s="4" t="s">
        <v>10</v>
      </c>
      <c r="R19" s="4">
        <f>'Calculated Stats'!C107</f>
        <v>0</v>
      </c>
      <c r="S19" s="4" t="e">
        <f>_xlfn.CONCAT('Calculated Stats'!D107,"%")</f>
        <v>#DIV/0!</v>
      </c>
      <c r="T19" s="4">
        <f>'Calculated Stats'!E107</f>
        <v>0</v>
      </c>
      <c r="U19" s="4" t="e">
        <f>_xlfn.CONCAT('Calculated Stats'!F107,"%")</f>
        <v>#DIV/0!</v>
      </c>
      <c r="V19" s="4"/>
      <c r="W19" s="4"/>
    </row>
    <row r="20" spans="1:23" x14ac:dyDescent="0.2">
      <c r="A20" s="4"/>
      <c r="B20" s="4"/>
      <c r="C20" s="4"/>
      <c r="D20" s="4"/>
      <c r="E20" s="4"/>
      <c r="F20" s="4"/>
      <c r="G20" s="4"/>
      <c r="I20" s="4" t="s">
        <v>59</v>
      </c>
      <c r="J20" s="4">
        <f>'Calculated Stats'!C106</f>
        <v>0</v>
      </c>
      <c r="K20" s="4"/>
      <c r="L20" s="4"/>
      <c r="M20" s="4"/>
      <c r="N20" s="4"/>
      <c r="O20" s="4"/>
      <c r="Q20" s="32" t="s">
        <v>11</v>
      </c>
      <c r="R20" s="4">
        <f>'Calculated Stats'!C108</f>
        <v>0</v>
      </c>
      <c r="S20" s="4" t="e">
        <f>_xlfn.CONCAT('Calculated Stats'!D108,"%")</f>
        <v>#DIV/0!</v>
      </c>
      <c r="T20" s="4">
        <f>'Calculated Stats'!E108</f>
        <v>0</v>
      </c>
      <c r="U20" s="4" t="e">
        <f>_xlfn.CONCAT('Calculated Stats'!F108,"%")</f>
        <v>#DIV/0!</v>
      </c>
      <c r="V20" s="32"/>
      <c r="W20" s="32"/>
    </row>
    <row r="21" spans="1:23" x14ac:dyDescent="0.2">
      <c r="A21" s="4" t="s">
        <v>44</v>
      </c>
      <c r="B21" s="4"/>
      <c r="C21" s="4"/>
      <c r="D21" s="4"/>
      <c r="E21" s="4"/>
      <c r="F21" s="4"/>
      <c r="G21" s="4"/>
      <c r="I21" s="4"/>
      <c r="J21" s="4"/>
      <c r="K21" s="4"/>
      <c r="L21" s="4"/>
      <c r="M21" s="4"/>
      <c r="N21" s="4"/>
      <c r="O21" s="4"/>
      <c r="Q21" s="4" t="s">
        <v>12</v>
      </c>
      <c r="R21" s="4">
        <f>'Calculated Stats'!C109</f>
        <v>0</v>
      </c>
      <c r="S21" s="4" t="e">
        <f>_xlfn.CONCAT('Calculated Stats'!D109,"%")</f>
        <v>#DIV/0!</v>
      </c>
      <c r="T21" s="4">
        <f>'Calculated Stats'!E109</f>
        <v>0</v>
      </c>
      <c r="U21" s="4" t="e">
        <f>_xlfn.CONCAT('Calculated Stats'!F109,"%")</f>
        <v>#DIV/0!</v>
      </c>
      <c r="V21" s="4"/>
      <c r="W21" s="4"/>
    </row>
    <row r="22" spans="1:23" x14ac:dyDescent="0.2">
      <c r="A22" s="4"/>
      <c r="B22" s="4"/>
      <c r="C22" s="4"/>
      <c r="D22" s="4"/>
      <c r="E22" s="4"/>
      <c r="F22" s="4"/>
      <c r="G22" s="4"/>
      <c r="I22" s="4"/>
      <c r="J22" s="4"/>
      <c r="K22" s="4"/>
      <c r="L22" s="4"/>
      <c r="M22" s="4"/>
      <c r="N22" s="4"/>
      <c r="O22" s="4"/>
      <c r="Q22" s="4" t="s">
        <v>13</v>
      </c>
      <c r="R22" s="4">
        <f>'Calculated Stats'!C110</f>
        <v>0</v>
      </c>
      <c r="S22" s="4" t="e">
        <f>_xlfn.CONCAT('Calculated Stats'!D110,"%")</f>
        <v>#DIV/0!</v>
      </c>
      <c r="T22" s="4">
        <f>'Calculated Stats'!E110</f>
        <v>0</v>
      </c>
      <c r="U22" s="4" t="e">
        <f>_xlfn.CONCAT('Calculated Stats'!F110,"%")</f>
        <v>#DIV/0!</v>
      </c>
      <c r="V22" s="4"/>
      <c r="W22" s="4"/>
    </row>
    <row r="23" spans="1:23" x14ac:dyDescent="0.2">
      <c r="I23" s="32" t="s">
        <v>47</v>
      </c>
      <c r="J23" s="4"/>
      <c r="K23" s="4"/>
      <c r="L23" s="4"/>
      <c r="M23" s="4"/>
      <c r="N23" s="4"/>
      <c r="O23" s="4"/>
      <c r="Q23" s="4" t="s">
        <v>14</v>
      </c>
      <c r="R23" s="4">
        <f>'Calculated Stats'!C111</f>
        <v>0</v>
      </c>
      <c r="S23" s="4" t="e">
        <f>_xlfn.CONCAT('Calculated Stats'!D111,"%")</f>
        <v>#DIV/0!</v>
      </c>
      <c r="T23" s="4">
        <f>'Calculated Stats'!E111</f>
        <v>0</v>
      </c>
      <c r="U23" s="4" t="e">
        <f>_xlfn.CONCAT('Calculated Stats'!F111,"%")</f>
        <v>#DIV/0!</v>
      </c>
      <c r="V23" s="4"/>
      <c r="W23" s="4"/>
    </row>
    <row r="24" spans="1:23" x14ac:dyDescent="0.2">
      <c r="I24" s="4" t="s">
        <v>30</v>
      </c>
      <c r="J24" s="4">
        <f>'Calculated Stats'!C117</f>
        <v>0</v>
      </c>
      <c r="K24" s="4"/>
      <c r="L24" s="4"/>
      <c r="M24" s="4"/>
      <c r="N24" s="4"/>
      <c r="O24" s="4"/>
    </row>
    <row r="25" spans="1:23" x14ac:dyDescent="0.2">
      <c r="I25" s="4" t="s">
        <v>31</v>
      </c>
      <c r="J25" s="4">
        <f>'Calculated Stats'!C118</f>
        <v>0</v>
      </c>
      <c r="K25" s="4"/>
      <c r="L25" s="4"/>
      <c r="M25" s="4"/>
      <c r="N25" s="4"/>
      <c r="O25" s="4"/>
    </row>
    <row r="26" spans="1:23" x14ac:dyDescent="0.2">
      <c r="A26" s="26" t="s">
        <v>54</v>
      </c>
      <c r="B26" s="25"/>
      <c r="C26" s="25"/>
      <c r="D26" s="25"/>
      <c r="E26" s="25"/>
      <c r="F26" s="25"/>
      <c r="G26" s="25"/>
      <c r="I26" s="4" t="s">
        <v>28</v>
      </c>
      <c r="J26" s="4">
        <f>'Calculated Stats'!C119</f>
        <v>0</v>
      </c>
      <c r="K26" s="4"/>
      <c r="L26" s="4"/>
      <c r="M26" s="4"/>
      <c r="N26" s="4"/>
      <c r="O26" s="4"/>
      <c r="Q26" s="26" t="s">
        <v>62</v>
      </c>
      <c r="R26" s="26"/>
      <c r="S26" s="26"/>
      <c r="T26" s="26"/>
      <c r="U26" s="26"/>
      <c r="V26" s="26"/>
      <c r="W26" s="26"/>
    </row>
    <row r="27" spans="1:23" x14ac:dyDescent="0.2">
      <c r="A27" s="4" t="s">
        <v>76</v>
      </c>
      <c r="B27" s="4">
        <f>SUM(B29:B31)</f>
        <v>0</v>
      </c>
      <c r="C27" s="4"/>
      <c r="D27" s="4"/>
      <c r="E27" s="4"/>
      <c r="F27" s="4"/>
      <c r="G27" s="4"/>
      <c r="I27" s="4"/>
      <c r="J27" s="4"/>
      <c r="K27" s="4"/>
      <c r="L27" s="4"/>
      <c r="M27" s="4"/>
      <c r="N27" s="4"/>
      <c r="O27" s="4"/>
      <c r="Q27" s="4"/>
      <c r="R27" s="4"/>
      <c r="S27" s="4"/>
      <c r="T27" s="4"/>
      <c r="U27" s="4"/>
      <c r="V27" s="4"/>
      <c r="W27" s="4"/>
    </row>
    <row r="28" spans="1:23" x14ac:dyDescent="0.2">
      <c r="A28" s="4"/>
      <c r="B28" s="34" t="s">
        <v>77</v>
      </c>
      <c r="C28" s="34" t="s">
        <v>7</v>
      </c>
      <c r="D28" s="4"/>
      <c r="E28" s="4"/>
      <c r="F28" s="4"/>
      <c r="G28" s="4"/>
      <c r="I28" s="4"/>
      <c r="J28" s="4"/>
      <c r="K28" s="4"/>
      <c r="L28" s="4"/>
      <c r="M28" s="4"/>
      <c r="N28" s="4"/>
      <c r="O28" s="4"/>
      <c r="Q28" s="4" t="s">
        <v>64</v>
      </c>
      <c r="R28" s="4">
        <f>'Calculated Stats'!C146</f>
        <v>0</v>
      </c>
      <c r="S28" s="4"/>
      <c r="T28" s="4"/>
      <c r="U28" s="4"/>
      <c r="V28" s="4"/>
      <c r="W28" s="4"/>
    </row>
    <row r="29" spans="1:23" x14ac:dyDescent="0.2">
      <c r="A29" s="4" t="str">
        <f>_xlfn.CONCAT('Calculated Stats'!B127, "/", 'Calculated Stats'!B128)</f>
        <v>BAU/Improvement</v>
      </c>
      <c r="B29" s="34">
        <f>'Calculated Stats'!C130</f>
        <v>0</v>
      </c>
      <c r="C29" s="34" t="e">
        <f>ROUND(B29/B$27*100,0)</f>
        <v>#DIV/0!</v>
      </c>
      <c r="D29" s="4"/>
      <c r="E29" s="4"/>
      <c r="F29" s="4"/>
      <c r="G29" s="4"/>
      <c r="I29" s="32" t="s">
        <v>48</v>
      </c>
      <c r="J29" s="4"/>
      <c r="K29" s="4"/>
      <c r="L29" s="4"/>
      <c r="M29" s="4"/>
      <c r="N29" s="4"/>
      <c r="O29" s="4"/>
      <c r="Q29" s="4" t="s">
        <v>63</v>
      </c>
      <c r="R29" s="4">
        <f>'Calculated Stats'!C145</f>
        <v>0</v>
      </c>
      <c r="S29" s="4"/>
      <c r="T29" s="4"/>
      <c r="U29" s="4"/>
      <c r="V29" s="4"/>
      <c r="W29" s="4"/>
    </row>
    <row r="30" spans="1:23" x14ac:dyDescent="0.2">
      <c r="A30" s="4" t="str">
        <f>'Calculated Stats'!B10</f>
        <v>label3</v>
      </c>
      <c r="B30" s="34">
        <f>INDEX('Calculated Stats'!D$36:D$45, MATCH(A30, 'Calculated Stats'!B$36:B$45, 0))</f>
        <v>0</v>
      </c>
      <c r="C30" s="34" t="e">
        <f t="shared" ref="C30:C31" si="0">ROUND(B30/B$27*100,0)</f>
        <v>#DIV/0!</v>
      </c>
      <c r="D30" s="4"/>
      <c r="E30" s="4"/>
      <c r="F30" s="4"/>
      <c r="G30" s="4"/>
      <c r="I30" s="4"/>
      <c r="J30" s="4"/>
      <c r="K30" s="4"/>
      <c r="L30" s="4"/>
      <c r="M30" s="4"/>
      <c r="N30" s="4"/>
      <c r="O30" s="4"/>
      <c r="Q30" s="4"/>
      <c r="R30" s="4"/>
      <c r="S30" s="4"/>
      <c r="T30" s="4"/>
      <c r="U30" s="4"/>
      <c r="V30" s="4"/>
      <c r="W30" s="4"/>
    </row>
    <row r="31" spans="1:23" x14ac:dyDescent="0.2">
      <c r="A31" s="4" t="str">
        <f>'Calculated Stats'!B11</f>
        <v>label4</v>
      </c>
      <c r="B31" s="34">
        <f>INDEX('Calculated Stats'!D$36:D$45, MATCH(A31, 'Calculated Stats'!B$36:B$45, 0))</f>
        <v>0</v>
      </c>
      <c r="C31" s="34" t="e">
        <f t="shared" si="0"/>
        <v>#DIV/0!</v>
      </c>
      <c r="D31" s="4"/>
      <c r="E31" s="4"/>
      <c r="F31" s="4"/>
      <c r="G31" s="4"/>
      <c r="I31" s="4"/>
      <c r="J31" s="4">
        <f>'Calculated Stats'!C108</f>
        <v>0</v>
      </c>
      <c r="K31" s="4" t="s">
        <v>40</v>
      </c>
      <c r="L31" s="4"/>
      <c r="M31" s="4"/>
      <c r="N31" s="4"/>
      <c r="O31" s="4"/>
    </row>
    <row r="32" spans="1:23" x14ac:dyDescent="0.2">
      <c r="A32" s="4"/>
      <c r="B32" s="4"/>
      <c r="C32" s="4"/>
      <c r="D32" s="4"/>
      <c r="E32" s="4"/>
      <c r="F32" s="4"/>
      <c r="G32" s="4"/>
      <c r="I32" s="4" t="s">
        <v>43</v>
      </c>
      <c r="J32" s="4">
        <f>'Calculated Stats'!C143</f>
        <v>0</v>
      </c>
      <c r="K32" s="4"/>
      <c r="L32" s="4"/>
      <c r="M32" s="4"/>
      <c r="N32" s="4"/>
      <c r="O32" s="4"/>
    </row>
    <row r="33" spans="9:23" x14ac:dyDescent="0.2">
      <c r="I33" s="4" t="s">
        <v>42</v>
      </c>
      <c r="J33" s="4">
        <f>'Calculated Stats'!C140</f>
        <v>0</v>
      </c>
      <c r="K33" s="4"/>
      <c r="L33" s="4"/>
      <c r="M33" s="4"/>
      <c r="N33" s="4"/>
      <c r="O33" s="4"/>
    </row>
    <row r="34" spans="9:23" x14ac:dyDescent="0.2">
      <c r="I34" s="4"/>
      <c r="J34" s="4"/>
      <c r="K34" s="4"/>
      <c r="L34" s="4"/>
      <c r="M34" s="4"/>
      <c r="N34" s="4"/>
      <c r="O34" s="4"/>
    </row>
    <row r="37" spans="9:23" x14ac:dyDescent="0.2">
      <c r="I37" s="26" t="s">
        <v>33</v>
      </c>
      <c r="J37" s="25"/>
      <c r="K37" s="25"/>
      <c r="L37" s="25"/>
      <c r="M37" s="25"/>
      <c r="N37" s="25"/>
      <c r="O37" s="25"/>
      <c r="Q37" s="26" t="s">
        <v>55</v>
      </c>
      <c r="R37" s="25"/>
      <c r="S37" s="25"/>
      <c r="T37" s="25"/>
      <c r="U37" s="25"/>
      <c r="V37" s="25"/>
      <c r="W37" s="25"/>
    </row>
    <row r="38" spans="9:23" x14ac:dyDescent="0.2">
      <c r="I38" s="4"/>
      <c r="J38" s="4"/>
      <c r="K38" s="4"/>
      <c r="L38" s="4"/>
      <c r="M38" s="4"/>
      <c r="N38" s="4"/>
      <c r="O38" s="4"/>
      <c r="Q38" s="4" t="s">
        <v>77</v>
      </c>
      <c r="R38" s="4">
        <f>SUM(R40:R44)</f>
        <v>0</v>
      </c>
      <c r="S38" s="4"/>
      <c r="T38" s="4"/>
      <c r="U38" s="4"/>
      <c r="V38" s="4"/>
      <c r="W38" s="4"/>
    </row>
    <row r="39" spans="9:23" x14ac:dyDescent="0.2">
      <c r="I39" s="4"/>
      <c r="J39" s="4"/>
      <c r="K39" s="4"/>
      <c r="L39" s="4"/>
      <c r="M39" s="4"/>
      <c r="N39" s="4"/>
      <c r="O39" s="4"/>
      <c r="Q39" s="4"/>
      <c r="R39" s="4"/>
      <c r="S39" s="33" t="s">
        <v>7</v>
      </c>
      <c r="T39" s="4"/>
      <c r="U39" s="4"/>
      <c r="V39" s="4"/>
      <c r="W39" s="4"/>
    </row>
    <row r="40" spans="9:23" x14ac:dyDescent="0.2">
      <c r="I40" s="4" t="s">
        <v>34</v>
      </c>
      <c r="J40" s="4">
        <f>'Calculated Stats'!C134</f>
        <v>0</v>
      </c>
      <c r="K40" s="4"/>
      <c r="L40" s="4"/>
      <c r="M40" s="4"/>
      <c r="N40" s="4"/>
      <c r="O40" s="4"/>
      <c r="Q40" s="4" t="str">
        <f>'Calculated Stats'!C8</f>
        <v>component1</v>
      </c>
      <c r="R40" s="4">
        <f>INDEX('Calculated Stats'!D$66:D$75, MATCH(Q40, 'Calculated Stats'!B$66:B$75, 0))</f>
        <v>0</v>
      </c>
      <c r="S40" s="4" t="e">
        <f>ROUND(R40/R$38*100,0)</f>
        <v>#DIV/0!</v>
      </c>
      <c r="T40" s="4"/>
      <c r="U40" s="4"/>
      <c r="V40" s="4"/>
      <c r="W40" s="4"/>
    </row>
    <row r="41" spans="9:23" x14ac:dyDescent="0.2">
      <c r="I41" s="4" t="s">
        <v>35</v>
      </c>
      <c r="J41" s="4">
        <v>1</v>
      </c>
      <c r="K41" s="4"/>
      <c r="L41" s="4"/>
      <c r="M41" s="4"/>
      <c r="N41" s="4"/>
      <c r="O41" s="4"/>
      <c r="Q41" s="4" t="str">
        <f>'Calculated Stats'!C9</f>
        <v>component2</v>
      </c>
      <c r="R41" s="4">
        <f>INDEX('Calculated Stats'!D$66:D$75, MATCH(Q41, 'Calculated Stats'!B$66:B$75, 0))</f>
        <v>0</v>
      </c>
      <c r="S41" s="4" t="e">
        <f t="shared" ref="S41:S42" si="1">ROUND(R41/R$38*100,0)</f>
        <v>#DIV/0!</v>
      </c>
      <c r="T41" s="4"/>
      <c r="U41" s="4"/>
      <c r="V41" s="4"/>
      <c r="W41" s="4"/>
    </row>
    <row r="42" spans="9:23" x14ac:dyDescent="0.2">
      <c r="I42" s="4"/>
      <c r="J42" s="4"/>
      <c r="K42" s="4"/>
      <c r="L42" s="4"/>
      <c r="M42" s="4"/>
      <c r="N42" s="4"/>
      <c r="O42" s="4"/>
      <c r="Q42" s="4" t="str">
        <f>'Calculated Stats'!C10</f>
        <v>component3</v>
      </c>
      <c r="R42" s="4">
        <f>INDEX('Calculated Stats'!D$66:D$75, MATCH(Q42, 'Calculated Stats'!B$66:B$75, 0))</f>
        <v>0</v>
      </c>
      <c r="S42" s="4" t="e">
        <f t="shared" si="1"/>
        <v>#DIV/0!</v>
      </c>
      <c r="T42" s="4"/>
      <c r="U42" s="4"/>
      <c r="V42" s="4"/>
      <c r="W42" s="4"/>
    </row>
    <row r="43" spans="9:23" x14ac:dyDescent="0.2">
      <c r="I43" s="4" t="s">
        <v>69</v>
      </c>
      <c r="J43" s="4">
        <f>'Calculated Stats'!E107</f>
        <v>0</v>
      </c>
      <c r="K43" s="4"/>
      <c r="L43" s="4"/>
      <c r="M43" s="4"/>
      <c r="N43" s="4"/>
      <c r="O43" s="4"/>
      <c r="Q43" s="4"/>
      <c r="R43" s="4"/>
      <c r="S43" s="4"/>
      <c r="T43" s="4"/>
      <c r="U43" s="4"/>
      <c r="V43" s="4"/>
      <c r="W43" s="4"/>
    </row>
    <row r="44" spans="9:23" x14ac:dyDescent="0.2">
      <c r="I44" s="4" t="s">
        <v>70</v>
      </c>
      <c r="J44" s="4">
        <f>'Calculated Stats'!C107</f>
        <v>0</v>
      </c>
      <c r="K44" s="4"/>
      <c r="L44" s="4"/>
      <c r="M44" s="4"/>
      <c r="N44" s="4"/>
      <c r="O44" s="4"/>
      <c r="Q44" s="4"/>
      <c r="R44" s="4"/>
      <c r="S44" s="4"/>
      <c r="T44" s="4"/>
      <c r="U44" s="4"/>
      <c r="V44" s="4"/>
      <c r="W44" s="4"/>
    </row>
    <row r="45" spans="9:23" x14ac:dyDescent="0.2">
      <c r="I45" s="4"/>
      <c r="J45" s="4"/>
      <c r="K45" s="4"/>
      <c r="L45" s="4"/>
      <c r="M45" s="4"/>
      <c r="N45" s="4"/>
      <c r="O45" s="4"/>
      <c r="Q45" s="4"/>
      <c r="R45" s="4"/>
      <c r="S45" s="4"/>
      <c r="T45" s="4"/>
      <c r="U45" s="4"/>
      <c r="V45" s="4"/>
      <c r="W45" s="4"/>
    </row>
    <row r="48" spans="9:23" x14ac:dyDescent="0.2">
      <c r="I48" s="26" t="s">
        <v>49</v>
      </c>
      <c r="J48" s="25"/>
      <c r="K48" s="25"/>
      <c r="L48" s="25"/>
      <c r="M48" s="25"/>
      <c r="N48" s="25"/>
      <c r="O48" s="25"/>
    </row>
    <row r="49" spans="9:15" x14ac:dyDescent="0.2">
      <c r="I49" s="4"/>
      <c r="J49" s="4" t="s">
        <v>7</v>
      </c>
      <c r="K49" s="4"/>
      <c r="L49" s="4"/>
      <c r="M49" s="4"/>
      <c r="N49" s="4"/>
      <c r="O49" s="4"/>
    </row>
    <row r="50" spans="9:15" x14ac:dyDescent="0.2">
      <c r="I50" s="4" t="s">
        <v>50</v>
      </c>
      <c r="J50" s="4">
        <f>'Calculated Stats'!C135</f>
        <v>0</v>
      </c>
      <c r="K50" s="4"/>
      <c r="L50" s="4"/>
      <c r="M50" s="4"/>
      <c r="N50" s="4"/>
      <c r="O50" s="4"/>
    </row>
    <row r="51" spans="9:15" x14ac:dyDescent="0.2">
      <c r="I51" s="4"/>
      <c r="J51" s="4"/>
      <c r="K51" s="4"/>
      <c r="L51" s="4"/>
      <c r="M51" s="4"/>
      <c r="N51" s="4"/>
      <c r="O51" s="4"/>
    </row>
    <row r="52" spans="9:15" x14ac:dyDescent="0.2">
      <c r="I52" s="4" t="s">
        <v>71</v>
      </c>
      <c r="J52" s="4">
        <f>'Calculated Stats'!C136</f>
        <v>0</v>
      </c>
      <c r="K52" s="4"/>
      <c r="L52" s="4"/>
      <c r="M52" s="4"/>
      <c r="N52" s="4"/>
      <c r="O52" s="4"/>
    </row>
    <row r="53" spans="9:15" x14ac:dyDescent="0.2">
      <c r="I53" s="4" t="s">
        <v>72</v>
      </c>
      <c r="J53" s="4">
        <f>'Calculated Stats'!E108</f>
        <v>0</v>
      </c>
      <c r="K53" s="4"/>
      <c r="L53" s="4"/>
      <c r="M53" s="4"/>
      <c r="N53" s="4"/>
      <c r="O53" s="4"/>
    </row>
    <row r="54" spans="9:15" x14ac:dyDescent="0.2">
      <c r="I54" s="4"/>
      <c r="J54" s="4"/>
      <c r="K54" s="4"/>
      <c r="L54" s="4"/>
      <c r="M54" s="4"/>
      <c r="N54" s="4"/>
      <c r="O54" s="4"/>
    </row>
    <row r="57" spans="9:15" x14ac:dyDescent="0.2">
      <c r="I57" s="26" t="s">
        <v>32</v>
      </c>
      <c r="J57" s="25"/>
      <c r="K57" s="25"/>
      <c r="L57" s="25"/>
      <c r="M57" s="25"/>
      <c r="N57" s="25"/>
      <c r="O57" s="25"/>
    </row>
    <row r="58" spans="9:15" x14ac:dyDescent="0.2">
      <c r="I58" s="4"/>
      <c r="J58" s="4"/>
      <c r="K58" s="4"/>
      <c r="L58" s="4"/>
      <c r="M58" s="4"/>
      <c r="N58" s="4"/>
      <c r="O58" s="4"/>
    </row>
    <row r="59" spans="9:15" x14ac:dyDescent="0.2">
      <c r="I59" s="4" t="s">
        <v>51</v>
      </c>
      <c r="J59" s="4" t="e">
        <f>'Calculated Stats'!C131</f>
        <v>#DIV/0!</v>
      </c>
      <c r="K59" s="4" t="e">
        <f>_xlfn.CONCAT(J59,"%")</f>
        <v>#DIV/0!</v>
      </c>
      <c r="L59" s="4"/>
      <c r="M59" s="4"/>
      <c r="N59" s="4"/>
      <c r="O59" s="4"/>
    </row>
    <row r="60" spans="9:15" x14ac:dyDescent="0.2">
      <c r="I60" s="4" t="s">
        <v>81</v>
      </c>
      <c r="J60" s="4">
        <f>'Calculated Stats'!C124</f>
        <v>0</v>
      </c>
      <c r="K60" s="4" t="str">
        <f>_xlfn.CONCAT(J60,"%")</f>
        <v>0%</v>
      </c>
      <c r="L60" s="4"/>
      <c r="M60" s="4"/>
      <c r="N60" s="4"/>
      <c r="O60" s="4"/>
    </row>
    <row r="61" spans="9:15" x14ac:dyDescent="0.2">
      <c r="I61" s="4"/>
      <c r="J61" s="4"/>
      <c r="K61" s="4"/>
      <c r="L61" s="4"/>
      <c r="M61" s="4"/>
      <c r="N61" s="4"/>
      <c r="O61" s="4"/>
    </row>
    <row r="62" spans="9:15" x14ac:dyDescent="0.2">
      <c r="I62" s="4" t="s">
        <v>73</v>
      </c>
      <c r="J62" s="4">
        <f>'Calculated Stats'!E107</f>
        <v>0</v>
      </c>
      <c r="K62" s="4"/>
      <c r="L62" s="4"/>
      <c r="M62" s="4"/>
      <c r="N62" s="4"/>
      <c r="O62" s="4"/>
    </row>
    <row r="63" spans="9:15" x14ac:dyDescent="0.2">
      <c r="I63" s="4" t="s">
        <v>74</v>
      </c>
      <c r="J63" s="4">
        <f>'Calculated Stats'!C107</f>
        <v>0</v>
      </c>
      <c r="K63" s="4"/>
      <c r="L63" s="4"/>
      <c r="M63" s="4"/>
      <c r="N63" s="4"/>
      <c r="O63" s="4"/>
    </row>
    <row r="64" spans="9:15" x14ac:dyDescent="0.2">
      <c r="I64" s="4"/>
      <c r="J64" s="4"/>
      <c r="K64" s="4"/>
      <c r="L64" s="4"/>
      <c r="M64" s="4"/>
      <c r="N64" s="4"/>
      <c r="O64" s="4"/>
    </row>
    <row r="65" spans="9:15" x14ac:dyDescent="0.2">
      <c r="I65" s="4"/>
      <c r="J65" s="4"/>
      <c r="K65" s="4"/>
      <c r="L65" s="4"/>
      <c r="M65" s="4"/>
      <c r="N65" s="4"/>
      <c r="O65" s="4"/>
    </row>
    <row r="66" spans="9:15" x14ac:dyDescent="0.2">
      <c r="I66" s="4"/>
      <c r="J66" s="4"/>
      <c r="K66" s="4"/>
      <c r="L66" s="4"/>
      <c r="M66" s="4"/>
      <c r="N66" s="4"/>
      <c r="O66" s="4"/>
    </row>
    <row r="67" spans="9:15" x14ac:dyDescent="0.2">
      <c r="I67" s="4"/>
      <c r="J67" s="4"/>
      <c r="K67" s="4"/>
      <c r="L67" s="4"/>
      <c r="M67" s="4"/>
      <c r="N67" s="4"/>
      <c r="O67" s="4"/>
    </row>
    <row r="70" spans="9:15" x14ac:dyDescent="0.2">
      <c r="I70" s="26" t="s">
        <v>52</v>
      </c>
      <c r="J70" s="25"/>
      <c r="K70" s="25"/>
      <c r="L70" s="25"/>
      <c r="M70" s="25"/>
      <c r="N70" s="25"/>
      <c r="O70" s="25"/>
    </row>
    <row r="71" spans="9:15" x14ac:dyDescent="0.2">
      <c r="I71" s="4"/>
      <c r="J71" s="4"/>
      <c r="K71" s="4"/>
      <c r="L71" s="4"/>
      <c r="M71" s="4"/>
      <c r="N71" s="4"/>
      <c r="O71" s="4"/>
    </row>
    <row r="72" spans="9:15" x14ac:dyDescent="0.2">
      <c r="I72" s="4" t="s">
        <v>75</v>
      </c>
      <c r="J72" s="4">
        <f>'Calculated Stats'!C130</f>
        <v>0</v>
      </c>
      <c r="K72" s="4"/>
      <c r="L72" s="4"/>
      <c r="M72" s="4"/>
      <c r="N72" s="4"/>
      <c r="O72" s="4"/>
    </row>
    <row r="73" spans="9:15" x14ac:dyDescent="0.2">
      <c r="I73" s="4"/>
      <c r="J73" s="4" t="s">
        <v>5</v>
      </c>
      <c r="K73" s="34" t="s">
        <v>7</v>
      </c>
      <c r="L73" s="4"/>
      <c r="M73" s="4"/>
      <c r="N73" s="4"/>
      <c r="O73" s="4"/>
    </row>
    <row r="74" spans="9:15" x14ac:dyDescent="0.2">
      <c r="I74" s="4" t="str">
        <f>'Calculated Stats'!B127</f>
        <v>BAU</v>
      </c>
      <c r="J74" s="4">
        <f>'Calculated Stats'!C127</f>
        <v>0</v>
      </c>
      <c r="K74" s="34" t="str">
        <f>IF(ISERROR(J74/J$72*100),"",J74/J$72*100)</f>
        <v/>
      </c>
      <c r="L74" s="4"/>
      <c r="M74" s="4"/>
      <c r="N74" s="4"/>
      <c r="O74" s="4"/>
    </row>
    <row r="75" spans="9:15" x14ac:dyDescent="0.2">
      <c r="I75" s="4" t="str">
        <f>'Calculated Stats'!B128</f>
        <v>Improvement</v>
      </c>
      <c r="J75" s="4">
        <f>'Calculated Stats'!C128</f>
        <v>0</v>
      </c>
      <c r="K75" s="34" t="str">
        <f>IF(ISERROR(J75/J$72*100),"",J75/J$72*100)</f>
        <v/>
      </c>
      <c r="L75" s="4"/>
      <c r="M75" s="4"/>
      <c r="N75" s="4"/>
      <c r="O75" s="4"/>
    </row>
    <row r="76" spans="9:15" x14ac:dyDescent="0.2">
      <c r="I76" s="4"/>
      <c r="J76" s="4"/>
      <c r="K76" s="34"/>
      <c r="L76" s="4"/>
      <c r="M76" s="4"/>
      <c r="N76" s="4"/>
      <c r="O76" s="4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7B467-4B25-403D-8384-48D44A502FD7}">
  <sheetPr>
    <tabColor rgb="FFCCCC00"/>
  </sheetPr>
  <dimension ref="A1:N221"/>
  <sheetViews>
    <sheetView zoomScale="150" zoomScaleNormal="115" workbookViewId="0">
      <selection activeCell="B10" sqref="B10"/>
    </sheetView>
  </sheetViews>
  <sheetFormatPr baseColWidth="10" defaultColWidth="8.83203125" defaultRowHeight="15" x14ac:dyDescent="0.2"/>
  <cols>
    <col min="1" max="1" width="2" style="85" customWidth="1"/>
    <col min="2" max="2" width="39.1640625" bestFit="1" customWidth="1"/>
    <col min="3" max="3" width="23.5" bestFit="1" customWidth="1"/>
    <col min="4" max="4" width="21.33203125" customWidth="1"/>
    <col min="5" max="5" width="9.5" customWidth="1"/>
    <col min="6" max="6" width="19.6640625" bestFit="1" customWidth="1"/>
    <col min="7" max="7" width="5" bestFit="1" customWidth="1"/>
    <col min="8" max="8" width="6.33203125" style="85" bestFit="1" customWidth="1"/>
    <col min="9" max="9" width="39" style="85" customWidth="1"/>
    <col min="10" max="10" width="10.6640625" style="85" bestFit="1" customWidth="1"/>
    <col min="11" max="12" width="8.83203125" style="85"/>
    <col min="13" max="13" width="3.1640625" style="85" customWidth="1"/>
    <col min="14" max="14" width="48" style="85" customWidth="1"/>
    <col min="16" max="16" width="17.33203125" bestFit="1" customWidth="1"/>
    <col min="17" max="17" width="15.33203125" bestFit="1" customWidth="1"/>
    <col min="18" max="18" width="9.6640625" bestFit="1" customWidth="1"/>
    <col min="19" max="19" width="10.1640625" bestFit="1" customWidth="1"/>
    <col min="20" max="21" width="8.83203125" bestFit="1" customWidth="1"/>
    <col min="22" max="22" width="4.5" bestFit="1" customWidth="1"/>
    <col min="23" max="23" width="5.83203125" bestFit="1" customWidth="1"/>
    <col min="24" max="24" width="10.6640625" bestFit="1" customWidth="1"/>
    <col min="25" max="25" width="1.83203125" bestFit="1" customWidth="1"/>
    <col min="26" max="26" width="3.83203125" bestFit="1" customWidth="1"/>
    <col min="27" max="27" width="1.83203125" bestFit="1" customWidth="1"/>
    <col min="28" max="28" width="3.83203125" bestFit="1" customWidth="1"/>
    <col min="29" max="29" width="1.83203125" bestFit="1" customWidth="1"/>
    <col min="30" max="30" width="10.6640625" bestFit="1" customWidth="1"/>
  </cols>
  <sheetData>
    <row r="1" spans="2:7" s="39" customFormat="1" ht="26" x14ac:dyDescent="0.3">
      <c r="B1" s="40" t="s">
        <v>82</v>
      </c>
    </row>
    <row r="2" spans="2:7" s="42" customFormat="1" x14ac:dyDescent="0.2">
      <c r="B2" s="42" t="s">
        <v>84</v>
      </c>
      <c r="F2" s="43"/>
    </row>
    <row r="3" spans="2:7" x14ac:dyDescent="0.2">
      <c r="B3" s="85"/>
      <c r="C3" s="85"/>
      <c r="D3" s="85"/>
      <c r="E3" s="85"/>
      <c r="F3" s="86"/>
      <c r="G3" s="85"/>
    </row>
    <row r="4" spans="2:7" x14ac:dyDescent="0.2">
      <c r="B4" s="85"/>
      <c r="C4" s="85"/>
      <c r="D4" s="85"/>
      <c r="E4" s="85"/>
      <c r="F4" s="86"/>
      <c r="G4" s="85"/>
    </row>
    <row r="5" spans="2:7" ht="16" thickBot="1" x14ac:dyDescent="0.25">
      <c r="B5" s="85"/>
      <c r="C5" s="85"/>
      <c r="D5" s="85"/>
      <c r="E5" s="85"/>
      <c r="F5" s="86"/>
      <c r="G5" s="85"/>
    </row>
    <row r="6" spans="2:7" ht="63" customHeight="1" x14ac:dyDescent="0.2">
      <c r="B6" s="141" t="s">
        <v>278</v>
      </c>
      <c r="C6" s="135"/>
      <c r="D6" s="85"/>
      <c r="E6" s="85"/>
      <c r="F6" s="86"/>
      <c r="G6" s="85"/>
    </row>
    <row r="7" spans="2:7" x14ac:dyDescent="0.2">
      <c r="B7" s="55" t="s">
        <v>114</v>
      </c>
      <c r="C7" s="58" t="s">
        <v>115</v>
      </c>
      <c r="D7" s="85"/>
      <c r="E7" s="85"/>
      <c r="F7" s="86"/>
      <c r="G7" s="85"/>
    </row>
    <row r="8" spans="2:7" x14ac:dyDescent="0.2">
      <c r="B8" s="142" t="s">
        <v>1</v>
      </c>
      <c r="C8" s="59" t="s">
        <v>149</v>
      </c>
      <c r="D8" s="85"/>
      <c r="E8" s="85"/>
      <c r="F8" s="86"/>
      <c r="G8" s="85"/>
    </row>
    <row r="9" spans="2:7" x14ac:dyDescent="0.2">
      <c r="B9" s="142" t="s">
        <v>53</v>
      </c>
      <c r="C9" s="59" t="s">
        <v>150</v>
      </c>
      <c r="D9" s="85"/>
      <c r="E9" s="85"/>
      <c r="F9" s="86"/>
      <c r="G9" s="85"/>
    </row>
    <row r="10" spans="2:7" x14ac:dyDescent="0.2">
      <c r="B10" s="56" t="s">
        <v>279</v>
      </c>
      <c r="C10" s="59" t="s">
        <v>151</v>
      </c>
      <c r="D10" s="85"/>
      <c r="E10" s="85"/>
      <c r="F10" s="86"/>
      <c r="G10" s="85"/>
    </row>
    <row r="11" spans="2:7" x14ac:dyDescent="0.2">
      <c r="B11" s="56" t="s">
        <v>280</v>
      </c>
      <c r="C11" s="59"/>
      <c r="D11" s="85"/>
      <c r="E11" s="85"/>
      <c r="F11" s="86"/>
      <c r="G11" s="85"/>
    </row>
    <row r="12" spans="2:7" x14ac:dyDescent="0.2">
      <c r="B12" s="56">
        <v>5</v>
      </c>
      <c r="C12" s="59">
        <v>5</v>
      </c>
      <c r="D12" s="85"/>
      <c r="E12" s="85"/>
      <c r="F12" s="86"/>
      <c r="G12" s="85"/>
    </row>
    <row r="13" spans="2:7" x14ac:dyDescent="0.2">
      <c r="B13" s="56">
        <v>6</v>
      </c>
      <c r="C13" s="59">
        <v>6</v>
      </c>
      <c r="D13" s="85"/>
      <c r="E13" s="85"/>
      <c r="F13" s="86"/>
      <c r="G13" s="85"/>
    </row>
    <row r="14" spans="2:7" x14ac:dyDescent="0.2">
      <c r="B14" s="56">
        <v>7</v>
      </c>
      <c r="C14" s="59">
        <v>7</v>
      </c>
      <c r="D14" s="85"/>
      <c r="E14" s="85"/>
      <c r="F14" s="86"/>
      <c r="G14" s="85"/>
    </row>
    <row r="15" spans="2:7" x14ac:dyDescent="0.2">
      <c r="B15" s="56">
        <v>8</v>
      </c>
      <c r="C15" s="59">
        <v>8</v>
      </c>
      <c r="D15" s="85"/>
      <c r="E15" s="85"/>
      <c r="F15" s="86"/>
      <c r="G15" s="85"/>
    </row>
    <row r="16" spans="2:7" x14ac:dyDescent="0.2">
      <c r="B16" s="56">
        <v>9</v>
      </c>
      <c r="C16" s="59">
        <v>9</v>
      </c>
      <c r="D16" s="85"/>
      <c r="E16" s="85"/>
      <c r="F16" s="86"/>
      <c r="G16" s="85"/>
    </row>
    <row r="17" spans="2:7" ht="16" thickBot="1" x14ac:dyDescent="0.25">
      <c r="B17" s="57">
        <v>10</v>
      </c>
      <c r="C17" s="60">
        <v>10</v>
      </c>
      <c r="D17" s="85"/>
      <c r="E17" s="85"/>
      <c r="F17" s="86"/>
      <c r="G17" s="85"/>
    </row>
    <row r="18" spans="2:7" x14ac:dyDescent="0.2">
      <c r="B18" s="85"/>
      <c r="C18" s="85"/>
      <c r="D18" s="85"/>
      <c r="E18" s="85"/>
      <c r="F18" s="86"/>
      <c r="G18" s="85"/>
    </row>
    <row r="19" spans="2:7" x14ac:dyDescent="0.2">
      <c r="B19" s="85"/>
      <c r="C19" s="85"/>
      <c r="D19" s="85"/>
      <c r="E19" s="85"/>
      <c r="F19" s="86"/>
      <c r="G19" s="85"/>
    </row>
    <row r="20" spans="2:7" x14ac:dyDescent="0.2">
      <c r="B20" s="77" t="s">
        <v>137</v>
      </c>
      <c r="C20" s="77"/>
      <c r="D20" s="85"/>
      <c r="E20" s="85"/>
      <c r="F20" s="86"/>
      <c r="G20" s="85"/>
    </row>
    <row r="21" spans="2:7" x14ac:dyDescent="0.2">
      <c r="B21" s="11" t="s">
        <v>138</v>
      </c>
      <c r="C21" s="11">
        <f>'processed | data'!B6</f>
        <v>0</v>
      </c>
      <c r="D21" s="85"/>
      <c r="E21" s="85"/>
      <c r="F21" s="86"/>
      <c r="G21" s="85"/>
    </row>
    <row r="22" spans="2:7" x14ac:dyDescent="0.2">
      <c r="B22" s="11" t="s">
        <v>139</v>
      </c>
      <c r="C22" s="11">
        <f>'processed | data'!B7</f>
        <v>0</v>
      </c>
      <c r="D22" s="85"/>
      <c r="E22" s="85"/>
      <c r="F22" s="86"/>
      <c r="G22" s="85"/>
    </row>
    <row r="23" spans="2:7" x14ac:dyDescent="0.2">
      <c r="B23" s="11" t="s">
        <v>140</v>
      </c>
      <c r="C23" s="11" t="str">
        <f>TEXT('processed | data'!B8, "DD/MM/YYYY")</f>
        <v>00/01/1900</v>
      </c>
      <c r="D23" s="85"/>
      <c r="E23" s="85"/>
      <c r="F23" s="86"/>
      <c r="G23" s="85"/>
    </row>
    <row r="24" spans="2:7" x14ac:dyDescent="0.2">
      <c r="B24" s="11" t="s">
        <v>141</v>
      </c>
      <c r="C24" s="11" t="str">
        <f>TEXT('processed | data'!B9, "DD/MM/YYYY")</f>
        <v>00/01/1900</v>
      </c>
      <c r="D24" s="85"/>
      <c r="E24" s="85"/>
      <c r="F24" s="86"/>
      <c r="G24" s="85"/>
    </row>
    <row r="25" spans="2:7" x14ac:dyDescent="0.2">
      <c r="B25" s="85"/>
      <c r="C25" s="85"/>
      <c r="D25" s="85"/>
      <c r="E25" s="85"/>
      <c r="F25" s="86"/>
      <c r="G25" s="85"/>
    </row>
    <row r="26" spans="2:7" x14ac:dyDescent="0.2">
      <c r="B26" s="85"/>
      <c r="C26" s="85"/>
      <c r="D26" s="85"/>
      <c r="E26" s="85"/>
      <c r="F26" s="86"/>
      <c r="G26" s="85"/>
    </row>
    <row r="27" spans="2:7" x14ac:dyDescent="0.2">
      <c r="B27" s="85"/>
      <c r="C27" s="85"/>
      <c r="D27" s="85"/>
      <c r="E27" s="85"/>
      <c r="F27" s="86"/>
      <c r="G27" s="85"/>
    </row>
    <row r="28" spans="2:7" x14ac:dyDescent="0.2">
      <c r="B28" s="85"/>
      <c r="C28" s="85"/>
      <c r="D28" s="85"/>
      <c r="E28" s="85"/>
      <c r="F28" s="86"/>
      <c r="G28" s="85"/>
    </row>
    <row r="29" spans="2:7" x14ac:dyDescent="0.2">
      <c r="B29" s="85"/>
      <c r="C29" s="85"/>
      <c r="D29" s="85"/>
      <c r="E29" s="85"/>
      <c r="F29" s="86"/>
      <c r="G29" s="85"/>
    </row>
    <row r="30" spans="2:7" x14ac:dyDescent="0.2">
      <c r="B30" s="85"/>
      <c r="C30" s="85"/>
      <c r="D30" s="85"/>
      <c r="E30" s="85"/>
      <c r="F30" s="86"/>
      <c r="G30" s="85"/>
    </row>
    <row r="31" spans="2:7" ht="16" thickBot="1" x14ac:dyDescent="0.25">
      <c r="B31" s="85"/>
      <c r="C31" s="85"/>
      <c r="D31" s="85"/>
      <c r="E31" s="85"/>
      <c r="F31" s="86"/>
      <c r="G31" s="85"/>
    </row>
    <row r="32" spans="2:7" ht="27.5" customHeight="1" x14ac:dyDescent="0.2">
      <c r="B32" s="134" t="s">
        <v>131</v>
      </c>
      <c r="C32" s="135"/>
      <c r="D32" s="28"/>
      <c r="E32" s="28"/>
      <c r="F32" s="74"/>
      <c r="G32" s="85"/>
    </row>
    <row r="33" spans="2:14" x14ac:dyDescent="0.2">
      <c r="B33" s="85"/>
      <c r="C33" s="85"/>
      <c r="D33" s="85"/>
      <c r="E33" s="85"/>
      <c r="F33" s="85"/>
      <c r="G33" s="85"/>
      <c r="N33" s="86"/>
    </row>
    <row r="34" spans="2:14" ht="16" thickBot="1" x14ac:dyDescent="0.25">
      <c r="B34" s="9" t="s">
        <v>26</v>
      </c>
      <c r="C34" s="139" t="s">
        <v>5</v>
      </c>
      <c r="D34" s="139"/>
      <c r="E34" s="85"/>
      <c r="F34" s="85"/>
      <c r="G34" s="84"/>
      <c r="N34" s="87"/>
    </row>
    <row r="35" spans="2:14" x14ac:dyDescent="0.2">
      <c r="B35" s="61" t="s">
        <v>130</v>
      </c>
      <c r="C35" s="52" t="s">
        <v>40</v>
      </c>
      <c r="D35" s="52" t="s">
        <v>28</v>
      </c>
      <c r="E35" s="85"/>
      <c r="F35" s="85"/>
      <c r="G35" s="84"/>
      <c r="N35" s="87"/>
    </row>
    <row r="36" spans="2:14" x14ac:dyDescent="0.2">
      <c r="B36" s="62" t="str">
        <f>B8</f>
        <v>BAU</v>
      </c>
      <c r="C36" s="4">
        <f>'processed | data'!B17</f>
        <v>0</v>
      </c>
      <c r="D36" s="4">
        <f>'processed | data'!B29</f>
        <v>0</v>
      </c>
      <c r="E36" s="85"/>
      <c r="F36" s="85"/>
      <c r="G36" s="85"/>
      <c r="N36" s="87"/>
    </row>
    <row r="37" spans="2:14" x14ac:dyDescent="0.2">
      <c r="B37" s="62" t="str">
        <f t="shared" ref="B37:B45" si="0">B9</f>
        <v>Improvement</v>
      </c>
      <c r="C37" s="4">
        <f>'processed | data'!B18</f>
        <v>0</v>
      </c>
      <c r="D37" s="4">
        <f>'processed | data'!B30</f>
        <v>0</v>
      </c>
      <c r="E37" s="85"/>
      <c r="F37" s="85"/>
      <c r="G37" s="85"/>
      <c r="N37" s="87"/>
    </row>
    <row r="38" spans="2:14" x14ac:dyDescent="0.2">
      <c r="B38" s="62" t="str">
        <f t="shared" si="0"/>
        <v>label3</v>
      </c>
      <c r="C38" s="4">
        <f>'processed | data'!B19</f>
        <v>0</v>
      </c>
      <c r="D38" s="4">
        <f>'processed | data'!B31</f>
        <v>0</v>
      </c>
      <c r="E38" s="85"/>
      <c r="F38" s="85"/>
      <c r="G38" s="85"/>
      <c r="N38" s="87"/>
    </row>
    <row r="39" spans="2:14" x14ac:dyDescent="0.2">
      <c r="B39" s="62" t="str">
        <f t="shared" si="0"/>
        <v>label4</v>
      </c>
      <c r="C39" s="4">
        <f>'processed | data'!B20</f>
        <v>0</v>
      </c>
      <c r="D39" s="4">
        <f>'processed | data'!B32</f>
        <v>0</v>
      </c>
      <c r="E39" s="85"/>
      <c r="F39" s="85"/>
      <c r="G39" s="85"/>
      <c r="N39" s="87"/>
    </row>
    <row r="40" spans="2:14" x14ac:dyDescent="0.2">
      <c r="B40" s="62">
        <f t="shared" si="0"/>
        <v>5</v>
      </c>
      <c r="C40" s="4">
        <f>'processed | data'!B21</f>
        <v>0</v>
      </c>
      <c r="D40" s="4">
        <f>'processed | data'!B33</f>
        <v>0</v>
      </c>
      <c r="E40" s="85"/>
      <c r="F40" s="85"/>
      <c r="G40" s="85"/>
      <c r="N40" s="87"/>
    </row>
    <row r="41" spans="2:14" x14ac:dyDescent="0.2">
      <c r="B41" s="62">
        <f t="shared" si="0"/>
        <v>6</v>
      </c>
      <c r="C41" s="4">
        <f>'processed | data'!B22</f>
        <v>0</v>
      </c>
      <c r="D41" s="4">
        <f>'processed | data'!B34</f>
        <v>0</v>
      </c>
      <c r="E41" s="85"/>
      <c r="F41" s="85"/>
      <c r="G41" s="85"/>
      <c r="N41" s="87"/>
    </row>
    <row r="42" spans="2:14" x14ac:dyDescent="0.2">
      <c r="B42" s="62">
        <f t="shared" si="0"/>
        <v>7</v>
      </c>
      <c r="C42" s="4">
        <f>'processed | data'!B23</f>
        <v>0</v>
      </c>
      <c r="D42" s="4">
        <f>'processed | data'!B35</f>
        <v>0</v>
      </c>
      <c r="E42" s="85"/>
      <c r="F42" s="85"/>
      <c r="G42" s="85"/>
      <c r="N42" s="87"/>
    </row>
    <row r="43" spans="2:14" x14ac:dyDescent="0.2">
      <c r="B43" s="62">
        <f t="shared" si="0"/>
        <v>8</v>
      </c>
      <c r="C43" s="4">
        <f>'processed | data'!B26</f>
        <v>0</v>
      </c>
      <c r="D43" s="4">
        <f>'processed | data'!B36</f>
        <v>0</v>
      </c>
      <c r="E43" s="85"/>
      <c r="F43" s="85"/>
      <c r="G43" s="85"/>
      <c r="N43" s="87"/>
    </row>
    <row r="44" spans="2:14" x14ac:dyDescent="0.2">
      <c r="B44" s="62">
        <f t="shared" si="0"/>
        <v>9</v>
      </c>
      <c r="C44" s="4">
        <f>'processed | data'!B27</f>
        <v>0</v>
      </c>
      <c r="D44" s="4">
        <f>'processed | data'!B37</f>
        <v>0</v>
      </c>
      <c r="E44" s="85"/>
      <c r="F44" s="85"/>
      <c r="G44" s="85"/>
      <c r="N44" s="87"/>
    </row>
    <row r="45" spans="2:14" ht="16" thickBot="1" x14ac:dyDescent="0.25">
      <c r="B45" s="63">
        <f t="shared" si="0"/>
        <v>10</v>
      </c>
      <c r="C45" s="4">
        <f>'processed | data'!B28</f>
        <v>0</v>
      </c>
      <c r="D45" s="4">
        <f>'processed | data'!B38</f>
        <v>0</v>
      </c>
      <c r="E45" s="85"/>
      <c r="F45" s="85"/>
      <c r="G45" s="85"/>
      <c r="N45" s="87"/>
    </row>
    <row r="46" spans="2:14" x14ac:dyDescent="0.2">
      <c r="B46" s="85"/>
      <c r="C46" s="85"/>
      <c r="D46" s="85"/>
      <c r="E46" s="85"/>
      <c r="F46" s="85"/>
      <c r="G46" s="85"/>
      <c r="N46" s="88"/>
    </row>
    <row r="47" spans="2:14" x14ac:dyDescent="0.2">
      <c r="B47" s="85"/>
      <c r="C47" s="85"/>
      <c r="D47" s="85"/>
      <c r="E47" s="85"/>
      <c r="F47" s="85"/>
      <c r="G47" s="85"/>
      <c r="N47" s="87"/>
    </row>
    <row r="48" spans="2:14" x14ac:dyDescent="0.2">
      <c r="B48" s="85"/>
      <c r="C48" s="85"/>
      <c r="D48" s="85"/>
      <c r="E48" s="85"/>
      <c r="F48" s="85"/>
      <c r="G48" s="85"/>
      <c r="N48" s="87"/>
    </row>
    <row r="49" spans="2:14" ht="16" thickBot="1" x14ac:dyDescent="0.25">
      <c r="B49" s="9" t="s">
        <v>26</v>
      </c>
      <c r="C49" s="139" t="s">
        <v>80</v>
      </c>
      <c r="D49" s="139"/>
      <c r="E49" s="85"/>
      <c r="F49" s="85"/>
      <c r="G49" s="85"/>
      <c r="N49" s="87"/>
    </row>
    <row r="50" spans="2:14" x14ac:dyDescent="0.2">
      <c r="B50" s="61" t="s">
        <v>130</v>
      </c>
      <c r="C50" s="9" t="s">
        <v>40</v>
      </c>
      <c r="D50" s="9" t="s">
        <v>28</v>
      </c>
      <c r="E50" s="85"/>
      <c r="F50" s="85"/>
      <c r="G50" s="85"/>
      <c r="N50" s="87"/>
    </row>
    <row r="51" spans="2:14" x14ac:dyDescent="0.2">
      <c r="B51" s="62" t="str">
        <f>B8</f>
        <v>BAU</v>
      </c>
      <c r="C51" s="4">
        <f>'processed | data'!B68</f>
        <v>0</v>
      </c>
      <c r="D51" s="4">
        <f>'processed | data'!B80</f>
        <v>0</v>
      </c>
      <c r="E51" s="85"/>
      <c r="F51" s="85"/>
      <c r="G51" s="85"/>
      <c r="N51" s="87"/>
    </row>
    <row r="52" spans="2:14" x14ac:dyDescent="0.2">
      <c r="B52" s="62" t="str">
        <f t="shared" ref="B52:B60" si="1">B9</f>
        <v>Improvement</v>
      </c>
      <c r="C52" s="4">
        <f>'processed | data'!B69</f>
        <v>0</v>
      </c>
      <c r="D52" s="4">
        <f>'processed | data'!B81</f>
        <v>0</v>
      </c>
      <c r="E52" s="85"/>
      <c r="F52" s="85"/>
      <c r="G52" s="85"/>
      <c r="N52" s="87"/>
    </row>
    <row r="53" spans="2:14" x14ac:dyDescent="0.2">
      <c r="B53" s="62" t="str">
        <f t="shared" si="1"/>
        <v>label3</v>
      </c>
      <c r="C53" s="4">
        <f>'processed | data'!B70</f>
        <v>0</v>
      </c>
      <c r="D53" s="4">
        <f>'processed | data'!B82</f>
        <v>0</v>
      </c>
      <c r="E53" s="85"/>
      <c r="F53" s="85"/>
      <c r="G53" s="85"/>
      <c r="N53" s="87"/>
    </row>
    <row r="54" spans="2:14" x14ac:dyDescent="0.2">
      <c r="B54" s="62" t="str">
        <f t="shared" si="1"/>
        <v>label4</v>
      </c>
      <c r="C54" s="4">
        <f>'processed | data'!B71</f>
        <v>0</v>
      </c>
      <c r="D54" s="4">
        <f>'processed | data'!B83</f>
        <v>0</v>
      </c>
      <c r="E54" s="85"/>
      <c r="F54" s="85"/>
      <c r="G54" s="85"/>
      <c r="N54" s="87"/>
    </row>
    <row r="55" spans="2:14" x14ac:dyDescent="0.2">
      <c r="B55" s="62">
        <f t="shared" si="1"/>
        <v>5</v>
      </c>
      <c r="C55" s="4">
        <f>'processed | data'!B72</f>
        <v>0</v>
      </c>
      <c r="D55" s="4">
        <f>'processed | data'!B84</f>
        <v>0</v>
      </c>
      <c r="E55" s="85"/>
      <c r="F55" s="85"/>
      <c r="G55" s="85"/>
      <c r="N55" s="87"/>
    </row>
    <row r="56" spans="2:14" x14ac:dyDescent="0.2">
      <c r="B56" s="62">
        <f t="shared" si="1"/>
        <v>6</v>
      </c>
      <c r="C56" s="4">
        <f>'processed | data'!B73</f>
        <v>0</v>
      </c>
      <c r="D56" s="4">
        <f>'processed | data'!B85</f>
        <v>0</v>
      </c>
      <c r="E56" s="85"/>
      <c r="F56" s="85"/>
      <c r="G56" s="85"/>
      <c r="N56" s="87"/>
    </row>
    <row r="57" spans="2:14" x14ac:dyDescent="0.2">
      <c r="B57" s="62">
        <f t="shared" si="1"/>
        <v>7</v>
      </c>
      <c r="C57" s="4">
        <f>'processed | data'!B74</f>
        <v>0</v>
      </c>
      <c r="D57" s="4">
        <f>'processed | data'!B86</f>
        <v>0</v>
      </c>
      <c r="E57" s="85"/>
      <c r="F57" s="85"/>
      <c r="G57" s="85"/>
      <c r="N57" s="87"/>
    </row>
    <row r="58" spans="2:14" x14ac:dyDescent="0.2">
      <c r="B58" s="62">
        <f t="shared" si="1"/>
        <v>8</v>
      </c>
      <c r="C58" s="4">
        <f>'processed | data'!B75</f>
        <v>0</v>
      </c>
      <c r="D58" s="4">
        <f>'processed | data'!B87</f>
        <v>0</v>
      </c>
      <c r="E58" s="85"/>
      <c r="F58" s="85"/>
      <c r="G58" s="85"/>
      <c r="N58" s="87"/>
    </row>
    <row r="59" spans="2:14" x14ac:dyDescent="0.2">
      <c r="B59" s="62">
        <f t="shared" si="1"/>
        <v>9</v>
      </c>
      <c r="C59" s="4">
        <f>'processed | data'!B76</f>
        <v>0</v>
      </c>
      <c r="D59" s="4">
        <f>'processed | data'!B88</f>
        <v>0</v>
      </c>
      <c r="E59" s="85"/>
      <c r="F59" s="85"/>
      <c r="G59" s="85"/>
      <c r="N59" s="87"/>
    </row>
    <row r="60" spans="2:14" ht="16" thickBot="1" x14ac:dyDescent="0.25">
      <c r="B60" s="63">
        <f t="shared" si="1"/>
        <v>10</v>
      </c>
      <c r="C60" s="4">
        <f>'processed | data'!B77</f>
        <v>0</v>
      </c>
      <c r="D60" s="4">
        <f>'processed | data'!B89</f>
        <v>0</v>
      </c>
      <c r="E60" s="85"/>
      <c r="F60" s="85"/>
      <c r="G60" s="85"/>
      <c r="N60" s="87"/>
    </row>
    <row r="61" spans="2:14" x14ac:dyDescent="0.2">
      <c r="B61" s="85"/>
      <c r="C61" s="85"/>
      <c r="D61" s="85"/>
      <c r="E61" s="85"/>
      <c r="F61" s="85"/>
      <c r="G61" s="85"/>
      <c r="N61" s="87"/>
    </row>
    <row r="62" spans="2:14" x14ac:dyDescent="0.2">
      <c r="B62" s="85"/>
      <c r="C62" s="85"/>
      <c r="D62" s="85"/>
      <c r="E62" s="85"/>
      <c r="F62" s="85"/>
      <c r="G62" s="85"/>
      <c r="N62" s="87"/>
    </row>
    <row r="63" spans="2:14" x14ac:dyDescent="0.2">
      <c r="B63" s="85"/>
      <c r="C63" s="85"/>
      <c r="D63" s="85"/>
      <c r="E63" s="85"/>
      <c r="F63" s="85"/>
      <c r="G63" s="85"/>
      <c r="N63" s="87"/>
    </row>
    <row r="64" spans="2:14" ht="16" thickBot="1" x14ac:dyDescent="0.25">
      <c r="B64" s="35" t="s">
        <v>27</v>
      </c>
      <c r="C64" s="140" t="s">
        <v>5</v>
      </c>
      <c r="D64" s="140"/>
      <c r="E64" s="85"/>
      <c r="F64" s="85"/>
      <c r="G64" s="85"/>
      <c r="N64" s="87"/>
    </row>
    <row r="65" spans="2:14" x14ac:dyDescent="0.2">
      <c r="B65" s="61" t="s">
        <v>130</v>
      </c>
      <c r="C65" s="36" t="s">
        <v>40</v>
      </c>
      <c r="D65" s="36" t="s">
        <v>28</v>
      </c>
      <c r="E65" s="85"/>
      <c r="F65" s="85"/>
      <c r="G65" s="85"/>
      <c r="N65" s="87"/>
    </row>
    <row r="66" spans="2:14" x14ac:dyDescent="0.2">
      <c r="B66" s="62" t="str">
        <f>C8</f>
        <v>component1</v>
      </c>
      <c r="C66" s="81">
        <f>'processed | data'!B41</f>
        <v>0</v>
      </c>
      <c r="D66" s="81">
        <f>'processed | data'!B53</f>
        <v>0</v>
      </c>
      <c r="E66" s="85"/>
      <c r="F66" s="85"/>
      <c r="G66" s="85"/>
      <c r="N66" s="87"/>
    </row>
    <row r="67" spans="2:14" x14ac:dyDescent="0.2">
      <c r="B67" s="62" t="str">
        <f t="shared" ref="B67:B75" si="2">C9</f>
        <v>component2</v>
      </c>
      <c r="C67" s="81">
        <f>'processed | data'!B42</f>
        <v>0</v>
      </c>
      <c r="D67" s="81">
        <f>'processed | data'!B54</f>
        <v>0</v>
      </c>
      <c r="E67" s="85"/>
      <c r="F67" s="85"/>
      <c r="G67" s="85"/>
      <c r="N67" s="87"/>
    </row>
    <row r="68" spans="2:14" x14ac:dyDescent="0.2">
      <c r="B68" s="62" t="str">
        <f t="shared" si="2"/>
        <v>component3</v>
      </c>
      <c r="C68" s="81">
        <f>'processed | data'!B43</f>
        <v>0</v>
      </c>
      <c r="D68" s="81">
        <f>'processed | data'!B55</f>
        <v>0</v>
      </c>
      <c r="E68" s="85"/>
      <c r="F68" s="85"/>
      <c r="G68" s="85"/>
      <c r="N68" s="87"/>
    </row>
    <row r="69" spans="2:14" x14ac:dyDescent="0.2">
      <c r="B69" s="62">
        <f t="shared" si="2"/>
        <v>0</v>
      </c>
      <c r="C69" s="81">
        <f>'processed | data'!B44</f>
        <v>0</v>
      </c>
      <c r="D69" s="81">
        <f>'processed | data'!B56</f>
        <v>0</v>
      </c>
      <c r="E69" s="85"/>
      <c r="F69" s="85"/>
      <c r="G69" s="85"/>
      <c r="N69" s="87"/>
    </row>
    <row r="70" spans="2:14" x14ac:dyDescent="0.2">
      <c r="B70" s="62">
        <f t="shared" si="2"/>
        <v>5</v>
      </c>
      <c r="C70" s="81">
        <f>'processed | data'!B45</f>
        <v>0</v>
      </c>
      <c r="D70" s="81">
        <f>'processed | data'!B57</f>
        <v>0</v>
      </c>
      <c r="E70" s="85"/>
      <c r="F70" s="85"/>
      <c r="G70" s="85"/>
      <c r="N70" s="87"/>
    </row>
    <row r="71" spans="2:14" x14ac:dyDescent="0.2">
      <c r="B71" s="62">
        <f t="shared" si="2"/>
        <v>6</v>
      </c>
      <c r="C71" s="81">
        <f>'processed | data'!B46</f>
        <v>0</v>
      </c>
      <c r="D71" s="81">
        <f>'processed | data'!B58</f>
        <v>0</v>
      </c>
      <c r="E71" s="85"/>
      <c r="F71" s="85"/>
      <c r="G71" s="85"/>
      <c r="N71" s="87"/>
    </row>
    <row r="72" spans="2:14" x14ac:dyDescent="0.2">
      <c r="B72" s="62">
        <f t="shared" si="2"/>
        <v>7</v>
      </c>
      <c r="C72" s="81">
        <f>'processed | data'!B47</f>
        <v>0</v>
      </c>
      <c r="D72" s="81">
        <f>'processed | data'!B59</f>
        <v>0</v>
      </c>
      <c r="E72" s="85"/>
      <c r="F72" s="85"/>
      <c r="G72" s="85"/>
      <c r="N72" s="87"/>
    </row>
    <row r="73" spans="2:14" x14ac:dyDescent="0.2">
      <c r="B73" s="62">
        <f t="shared" si="2"/>
        <v>8</v>
      </c>
      <c r="C73" s="81">
        <f>'processed | data'!B48</f>
        <v>0</v>
      </c>
      <c r="D73" s="81">
        <f>'processed | data'!B60</f>
        <v>0</v>
      </c>
      <c r="E73" s="85"/>
      <c r="F73" s="85"/>
      <c r="G73" s="85"/>
      <c r="N73" s="87"/>
    </row>
    <row r="74" spans="2:14" x14ac:dyDescent="0.2">
      <c r="B74" s="62">
        <f t="shared" si="2"/>
        <v>9</v>
      </c>
      <c r="C74" s="81">
        <f>'processed | data'!B49</f>
        <v>0</v>
      </c>
      <c r="D74" s="81">
        <f>'processed | data'!B61</f>
        <v>0</v>
      </c>
      <c r="E74" s="85"/>
      <c r="F74" s="85"/>
      <c r="G74" s="85"/>
      <c r="N74" s="87"/>
    </row>
    <row r="75" spans="2:14" ht="16" thickBot="1" x14ac:dyDescent="0.25">
      <c r="B75" s="63">
        <f t="shared" si="2"/>
        <v>10</v>
      </c>
      <c r="C75" s="81">
        <f>'processed | data'!B50</f>
        <v>0</v>
      </c>
      <c r="D75" s="81">
        <f>'processed | data'!B62</f>
        <v>0</v>
      </c>
      <c r="E75" s="85"/>
      <c r="F75" s="85"/>
      <c r="G75" s="85"/>
      <c r="N75" s="87"/>
    </row>
    <row r="76" spans="2:14" x14ac:dyDescent="0.2">
      <c r="B76" s="85"/>
      <c r="C76" s="85"/>
      <c r="D76" s="85"/>
      <c r="E76" s="85"/>
      <c r="F76" s="85"/>
      <c r="G76" s="85"/>
      <c r="N76" s="87"/>
    </row>
    <row r="77" spans="2:14" x14ac:dyDescent="0.2">
      <c r="B77" s="85"/>
      <c r="C77" s="85"/>
      <c r="D77" s="85"/>
      <c r="E77" s="85"/>
      <c r="F77" s="85"/>
      <c r="G77" s="85"/>
      <c r="N77" s="87"/>
    </row>
    <row r="78" spans="2:14" x14ac:dyDescent="0.2">
      <c r="B78" s="85"/>
      <c r="C78" s="85"/>
      <c r="D78" s="85"/>
      <c r="E78" s="85"/>
      <c r="F78" s="85"/>
      <c r="G78" s="85"/>
      <c r="N78" s="87"/>
    </row>
    <row r="79" spans="2:14" ht="16" thickBot="1" x14ac:dyDescent="0.25">
      <c r="B79" s="35" t="s">
        <v>27</v>
      </c>
      <c r="C79" s="140" t="s">
        <v>80</v>
      </c>
      <c r="D79" s="140"/>
      <c r="E79" s="85"/>
      <c r="F79" s="85"/>
      <c r="G79" s="85"/>
      <c r="N79" s="87"/>
    </row>
    <row r="80" spans="2:14" x14ac:dyDescent="0.2">
      <c r="B80" s="61" t="s">
        <v>130</v>
      </c>
      <c r="C80" s="36" t="s">
        <v>40</v>
      </c>
      <c r="D80" s="36" t="s">
        <v>28</v>
      </c>
      <c r="E80" s="85"/>
      <c r="F80" s="85"/>
      <c r="G80" s="85"/>
      <c r="N80" s="87"/>
    </row>
    <row r="81" spans="2:14" x14ac:dyDescent="0.2">
      <c r="B81" s="62" t="str">
        <f>C8</f>
        <v>component1</v>
      </c>
      <c r="C81" s="81">
        <f>'processed | data'!B92</f>
        <v>0</v>
      </c>
      <c r="D81" s="81">
        <f>'processed | data'!B104</f>
        <v>0</v>
      </c>
      <c r="E81" s="85"/>
      <c r="F81" s="85"/>
      <c r="G81" s="85"/>
      <c r="N81" s="87"/>
    </row>
    <row r="82" spans="2:14" x14ac:dyDescent="0.2">
      <c r="B82" s="62" t="str">
        <f t="shared" ref="B82:B90" si="3">C9</f>
        <v>component2</v>
      </c>
      <c r="C82" s="81">
        <f>'processed | data'!B93</f>
        <v>0</v>
      </c>
      <c r="D82" s="81">
        <f>'processed | data'!B105</f>
        <v>0</v>
      </c>
      <c r="E82" s="85"/>
      <c r="F82" s="85"/>
      <c r="G82" s="85"/>
      <c r="N82" s="87"/>
    </row>
    <row r="83" spans="2:14" x14ac:dyDescent="0.2">
      <c r="B83" s="62" t="str">
        <f t="shared" si="3"/>
        <v>component3</v>
      </c>
      <c r="C83" s="81">
        <f>'processed | data'!B94</f>
        <v>0</v>
      </c>
      <c r="D83" s="81">
        <f>'processed | data'!B106</f>
        <v>0</v>
      </c>
      <c r="E83" s="85"/>
      <c r="F83" s="85"/>
      <c r="G83" s="85"/>
      <c r="N83" s="87"/>
    </row>
    <row r="84" spans="2:14" x14ac:dyDescent="0.2">
      <c r="B84" s="62">
        <f t="shared" si="3"/>
        <v>0</v>
      </c>
      <c r="C84" s="81">
        <f>'processed | data'!B95</f>
        <v>0</v>
      </c>
      <c r="D84" s="81">
        <f>'processed | data'!B107</f>
        <v>0</v>
      </c>
      <c r="E84" s="85"/>
      <c r="F84" s="85"/>
      <c r="G84" s="85"/>
      <c r="N84" s="87"/>
    </row>
    <row r="85" spans="2:14" x14ac:dyDescent="0.2">
      <c r="B85" s="62">
        <f t="shared" si="3"/>
        <v>5</v>
      </c>
      <c r="C85" s="81">
        <f>'processed | data'!B96</f>
        <v>0</v>
      </c>
      <c r="D85" s="81">
        <f>'processed | data'!B108</f>
        <v>0</v>
      </c>
      <c r="E85" s="85"/>
      <c r="F85" s="85"/>
      <c r="G85" s="85"/>
      <c r="N85" s="87"/>
    </row>
    <row r="86" spans="2:14" x14ac:dyDescent="0.2">
      <c r="B86" s="62">
        <f t="shared" si="3"/>
        <v>6</v>
      </c>
      <c r="C86" s="81">
        <f>'processed | data'!B97</f>
        <v>0</v>
      </c>
      <c r="D86" s="81">
        <f>'processed | data'!B109</f>
        <v>0</v>
      </c>
      <c r="E86" s="85"/>
      <c r="F86" s="85"/>
      <c r="G86" s="85"/>
      <c r="N86" s="87"/>
    </row>
    <row r="87" spans="2:14" x14ac:dyDescent="0.2">
      <c r="B87" s="62">
        <f t="shared" si="3"/>
        <v>7</v>
      </c>
      <c r="C87" s="81">
        <f>'processed | data'!B98</f>
        <v>0</v>
      </c>
      <c r="D87" s="81">
        <f>'processed | data'!B110</f>
        <v>0</v>
      </c>
      <c r="E87" s="85"/>
      <c r="F87" s="85"/>
      <c r="G87" s="85"/>
      <c r="N87" s="87"/>
    </row>
    <row r="88" spans="2:14" x14ac:dyDescent="0.2">
      <c r="B88" s="62">
        <f t="shared" si="3"/>
        <v>8</v>
      </c>
      <c r="C88" s="81">
        <f>'processed | data'!B99</f>
        <v>0</v>
      </c>
      <c r="D88" s="81">
        <f>'processed | data'!B111</f>
        <v>0</v>
      </c>
      <c r="E88" s="85"/>
      <c r="F88" s="85"/>
      <c r="G88" s="85"/>
      <c r="N88" s="87"/>
    </row>
    <row r="89" spans="2:14" x14ac:dyDescent="0.2">
      <c r="B89" s="62">
        <f t="shared" si="3"/>
        <v>9</v>
      </c>
      <c r="C89" s="81">
        <f>'processed | data'!B100</f>
        <v>0</v>
      </c>
      <c r="D89" s="81">
        <f>'processed | data'!B112</f>
        <v>0</v>
      </c>
      <c r="E89" s="85"/>
      <c r="F89" s="85"/>
      <c r="G89" s="85"/>
      <c r="N89" s="87"/>
    </row>
    <row r="90" spans="2:14" ht="16" thickBot="1" x14ac:dyDescent="0.25">
      <c r="B90" s="63">
        <f t="shared" si="3"/>
        <v>10</v>
      </c>
      <c r="C90" s="81">
        <f>'processed | data'!B101</f>
        <v>0</v>
      </c>
      <c r="D90" s="81">
        <f>'processed | data'!B113</f>
        <v>0</v>
      </c>
      <c r="E90" s="85"/>
      <c r="F90" s="85"/>
      <c r="G90" s="85"/>
      <c r="N90" s="87"/>
    </row>
    <row r="91" spans="2:14" x14ac:dyDescent="0.2">
      <c r="B91" s="85"/>
      <c r="C91" s="85"/>
      <c r="D91" s="85"/>
      <c r="E91" s="85"/>
      <c r="F91" s="85"/>
      <c r="G91" s="85"/>
      <c r="N91" s="87"/>
    </row>
    <row r="92" spans="2:14" x14ac:dyDescent="0.2">
      <c r="B92" s="85"/>
      <c r="C92" s="85"/>
      <c r="D92" s="85"/>
      <c r="E92" s="85"/>
      <c r="F92" s="85"/>
      <c r="G92" s="85"/>
      <c r="N92" s="87"/>
    </row>
    <row r="93" spans="2:14" x14ac:dyDescent="0.2">
      <c r="B93" s="85"/>
      <c r="C93" s="85"/>
      <c r="D93" s="85"/>
      <c r="E93" s="85"/>
      <c r="F93" s="85"/>
      <c r="G93" s="85"/>
      <c r="N93" s="87"/>
    </row>
    <row r="94" spans="2:14" x14ac:dyDescent="0.2">
      <c r="B94" s="19" t="s">
        <v>16</v>
      </c>
      <c r="C94" s="8" t="s">
        <v>24</v>
      </c>
      <c r="D94" s="21" t="s">
        <v>0</v>
      </c>
      <c r="E94" s="19">
        <f>C107</f>
        <v>0</v>
      </c>
      <c r="F94" s="19"/>
      <c r="G94" s="85"/>
      <c r="N94" s="87"/>
    </row>
    <row r="95" spans="2:14" x14ac:dyDescent="0.2">
      <c r="B95" s="7"/>
      <c r="C95" s="7"/>
      <c r="D95" s="7"/>
      <c r="E95" s="7"/>
      <c r="F95" s="7"/>
      <c r="G95" s="85"/>
      <c r="N95" s="87"/>
    </row>
    <row r="96" spans="2:14" x14ac:dyDescent="0.2">
      <c r="B96" s="7"/>
      <c r="C96" s="22" t="s">
        <v>78</v>
      </c>
      <c r="D96" s="22" t="s">
        <v>79</v>
      </c>
      <c r="E96" s="22" t="s">
        <v>7</v>
      </c>
      <c r="F96" s="22" t="s">
        <v>73</v>
      </c>
      <c r="G96" s="85"/>
      <c r="N96" s="87"/>
    </row>
    <row r="97" spans="2:14" x14ac:dyDescent="0.2">
      <c r="B97" s="20" t="s">
        <v>22</v>
      </c>
      <c r="C97" s="7">
        <f>SUM(C36:C37)</f>
        <v>0</v>
      </c>
      <c r="D97" s="7">
        <f>SUM(D36:D36)</f>
        <v>0</v>
      </c>
      <c r="E97" s="7" t="e">
        <f>ROUND(D97/E$94*100, 0)</f>
        <v>#DIV/0!</v>
      </c>
      <c r="F97" s="7"/>
      <c r="G97" s="85"/>
      <c r="N97" s="88"/>
    </row>
    <row r="98" spans="2:14" x14ac:dyDescent="0.2">
      <c r="B98" s="7" t="s">
        <v>2</v>
      </c>
      <c r="C98" s="7">
        <f>C38</f>
        <v>0</v>
      </c>
      <c r="D98" s="7">
        <f>D37</f>
        <v>0</v>
      </c>
      <c r="E98" s="7" t="e">
        <f>ROUND(D98/E$94*100, 0)</f>
        <v>#DIV/0!</v>
      </c>
      <c r="F98" s="7"/>
      <c r="G98" s="85"/>
      <c r="N98" s="87"/>
    </row>
    <row r="99" spans="2:14" x14ac:dyDescent="0.2">
      <c r="B99" s="7" t="s">
        <v>23</v>
      </c>
      <c r="C99" s="7">
        <f>C39</f>
        <v>0</v>
      </c>
      <c r="D99" s="7">
        <f>D38</f>
        <v>0</v>
      </c>
      <c r="E99" s="7" t="e">
        <f>ROUND(D99/E$94*100, 0)</f>
        <v>#DIV/0!</v>
      </c>
      <c r="F99" s="7"/>
      <c r="G99" s="85"/>
      <c r="N99" s="87"/>
    </row>
    <row r="100" spans="2:14" x14ac:dyDescent="0.2">
      <c r="B100" s="23" t="s">
        <v>25</v>
      </c>
      <c r="C100" s="24">
        <f>SUM(C97:C99)</f>
        <v>0</v>
      </c>
      <c r="D100" s="24">
        <f>SUM(D97:D99)</f>
        <v>0</v>
      </c>
      <c r="E100" s="24" t="e">
        <f>SUM(E97:E99)</f>
        <v>#DIV/0!</v>
      </c>
      <c r="F100" s="24"/>
      <c r="G100" s="85"/>
      <c r="N100" s="87"/>
    </row>
    <row r="101" spans="2:14" x14ac:dyDescent="0.2">
      <c r="B101" s="89"/>
      <c r="C101" s="85"/>
      <c r="D101" s="85"/>
      <c r="E101" s="85"/>
      <c r="F101" s="85"/>
      <c r="G101" s="85"/>
      <c r="N101" s="87"/>
    </row>
    <row r="102" spans="2:14" x14ac:dyDescent="0.2">
      <c r="B102" s="89"/>
      <c r="C102" s="85"/>
      <c r="D102" s="85"/>
      <c r="E102" s="85"/>
      <c r="F102" s="85"/>
      <c r="G102" s="85"/>
      <c r="N102" s="87"/>
    </row>
    <row r="103" spans="2:14" x14ac:dyDescent="0.2">
      <c r="B103" s="13" t="s">
        <v>15</v>
      </c>
      <c r="C103" s="5"/>
      <c r="D103" s="5"/>
      <c r="E103" s="5"/>
      <c r="F103" s="5"/>
      <c r="G103" s="5"/>
      <c r="N103" s="87"/>
    </row>
    <row r="104" spans="2:14" x14ac:dyDescent="0.2">
      <c r="B104" s="6"/>
      <c r="C104" s="136" t="s">
        <v>6</v>
      </c>
      <c r="D104" s="137"/>
      <c r="E104" s="136" t="s">
        <v>8</v>
      </c>
      <c r="F104" s="138"/>
      <c r="G104" s="6"/>
      <c r="N104" s="87"/>
    </row>
    <row r="105" spans="2:14" x14ac:dyDescent="0.2">
      <c r="B105" s="6"/>
      <c r="C105" s="16" t="s">
        <v>18</v>
      </c>
      <c r="D105" s="45" t="s">
        <v>7</v>
      </c>
      <c r="E105" s="44" t="s">
        <v>18</v>
      </c>
      <c r="F105" s="46" t="s">
        <v>7</v>
      </c>
      <c r="G105" s="6"/>
      <c r="N105" s="87"/>
    </row>
    <row r="106" spans="2:14" x14ac:dyDescent="0.2">
      <c r="B106" s="6" t="s">
        <v>9</v>
      </c>
      <c r="C106" s="14">
        <f>'processed | data'!B118</f>
        <v>0</v>
      </c>
      <c r="D106" s="45" t="e">
        <f>D108-D107</f>
        <v>#DIV/0!</v>
      </c>
      <c r="E106" s="14">
        <f>'processed | data'!B127</f>
        <v>0</v>
      </c>
      <c r="F106" s="46" t="e">
        <f>F108-F107</f>
        <v>#DIV/0!</v>
      </c>
      <c r="G106" s="6"/>
      <c r="N106" s="87"/>
    </row>
    <row r="107" spans="2:14" x14ac:dyDescent="0.2">
      <c r="B107" s="6" t="s">
        <v>10</v>
      </c>
      <c r="C107" s="14">
        <f>'processed | data'!B119</f>
        <v>0</v>
      </c>
      <c r="D107" s="45" t="e">
        <f>ROUND(C107/C108*100, 0)</f>
        <v>#DIV/0!</v>
      </c>
      <c r="E107" s="14">
        <f>'processed | data'!B128</f>
        <v>0</v>
      </c>
      <c r="F107" s="46" t="e">
        <f>ROUND(E107/E108*100, 0)</f>
        <v>#DIV/0!</v>
      </c>
      <c r="G107" s="6"/>
      <c r="N107" s="87"/>
    </row>
    <row r="108" spans="2:14" x14ac:dyDescent="0.2">
      <c r="B108" s="12" t="s">
        <v>11</v>
      </c>
      <c r="C108" s="15">
        <f>'processed | data'!B120</f>
        <v>0</v>
      </c>
      <c r="D108" s="53" t="e">
        <f>ROUND(C108/C108*100, 0)</f>
        <v>#DIV/0!</v>
      </c>
      <c r="E108" s="15">
        <f>'processed | data'!B129</f>
        <v>0</v>
      </c>
      <c r="F108" s="54" t="e">
        <f>ROUND(E108/E108*100, 0)</f>
        <v>#DIV/0!</v>
      </c>
      <c r="G108" s="6"/>
      <c r="N108" s="87"/>
    </row>
    <row r="109" spans="2:14" x14ac:dyDescent="0.2">
      <c r="B109" s="6" t="s">
        <v>12</v>
      </c>
      <c r="C109" s="14">
        <f>'processed | data'!B121</f>
        <v>0</v>
      </c>
      <c r="D109" s="45" t="e">
        <f>ROUND((C109/C108)*100, 0)</f>
        <v>#DIV/0!</v>
      </c>
      <c r="E109" s="14">
        <f>'processed | data'!B130</f>
        <v>0</v>
      </c>
      <c r="F109" s="46" t="e">
        <f>ROUND((E109/E108)*100, 0)</f>
        <v>#DIV/0!</v>
      </c>
      <c r="G109" s="6"/>
      <c r="N109" s="87"/>
    </row>
    <row r="110" spans="2:14" x14ac:dyDescent="0.2">
      <c r="B110" s="6" t="s">
        <v>13</v>
      </c>
      <c r="C110" s="14">
        <f>(C108+C111)-C109</f>
        <v>0</v>
      </c>
      <c r="D110" s="45" t="e">
        <f>ROUND((C110/C109)*100, 0)</f>
        <v>#DIV/0!</v>
      </c>
      <c r="E110" s="14">
        <f t="shared" ref="E110" si="4">(E108+E111)-E109</f>
        <v>0</v>
      </c>
      <c r="F110" s="46" t="e">
        <f>ROUND((E110/E109)*100, 0)</f>
        <v>#DIV/0!</v>
      </c>
      <c r="G110" s="6"/>
      <c r="N110" s="87"/>
    </row>
    <row r="111" spans="2:14" x14ac:dyDescent="0.2">
      <c r="B111" s="6" t="s">
        <v>14</v>
      </c>
      <c r="C111" s="14">
        <f>'processed | data'!B122</f>
        <v>0</v>
      </c>
      <c r="D111" s="45" t="e">
        <f>ROUND(C111/C108*100, 0)</f>
        <v>#DIV/0!</v>
      </c>
      <c r="E111" s="14">
        <f>'processed | data'!B131</f>
        <v>0</v>
      </c>
      <c r="F111" s="46" t="e">
        <f>ROUND(E111/E108*100, 0)</f>
        <v>#DIV/0!</v>
      </c>
      <c r="G111" s="6"/>
      <c r="N111" s="87"/>
    </row>
    <row r="112" spans="2:14" x14ac:dyDescent="0.2">
      <c r="B112" s="85"/>
      <c r="C112" s="85"/>
      <c r="D112" s="85"/>
      <c r="E112" s="85"/>
      <c r="F112" s="85"/>
      <c r="G112" s="85"/>
      <c r="N112" s="87"/>
    </row>
    <row r="113" spans="2:14" x14ac:dyDescent="0.2">
      <c r="B113" s="85"/>
      <c r="C113" s="85"/>
      <c r="D113" s="85"/>
      <c r="E113" s="85"/>
      <c r="F113" s="85"/>
      <c r="G113" s="85"/>
      <c r="N113" s="87"/>
    </row>
    <row r="114" spans="2:14" x14ac:dyDescent="0.2">
      <c r="B114" s="85"/>
      <c r="C114" s="85"/>
      <c r="D114" s="85"/>
      <c r="E114" s="85"/>
      <c r="F114" s="85"/>
      <c r="G114" s="85"/>
      <c r="N114" s="87"/>
    </row>
    <row r="115" spans="2:14" x14ac:dyDescent="0.2">
      <c r="B115" s="9" t="s">
        <v>17</v>
      </c>
      <c r="C115" s="9"/>
      <c r="D115" s="9"/>
      <c r="E115" s="85"/>
      <c r="F115" s="85"/>
      <c r="G115" s="85"/>
      <c r="N115" s="87"/>
    </row>
    <row r="116" spans="2:14" x14ac:dyDescent="0.2">
      <c r="B116" s="4" t="s">
        <v>124</v>
      </c>
      <c r="C116" s="4" t="s">
        <v>5</v>
      </c>
      <c r="D116" s="4" t="s">
        <v>80</v>
      </c>
      <c r="E116" s="85"/>
      <c r="F116" s="85"/>
      <c r="G116" s="85"/>
      <c r="N116" s="87"/>
    </row>
    <row r="117" spans="2:14" x14ac:dyDescent="0.2">
      <c r="B117" s="4" t="s">
        <v>125</v>
      </c>
      <c r="C117" s="4">
        <f>'processed | data'!B136</f>
        <v>0</v>
      </c>
      <c r="D117" s="4">
        <f>'processed | data'!B143</f>
        <v>0</v>
      </c>
      <c r="E117" s="85"/>
      <c r="F117" s="85"/>
      <c r="G117" s="85"/>
      <c r="N117" s="87"/>
    </row>
    <row r="118" spans="2:14" x14ac:dyDescent="0.2">
      <c r="B118" s="4" t="s">
        <v>3</v>
      </c>
      <c r="C118" s="4">
        <f>'processed | data'!B137</f>
        <v>0</v>
      </c>
      <c r="D118" s="4">
        <f>'processed | data'!B144</f>
        <v>0</v>
      </c>
      <c r="E118" s="85"/>
      <c r="F118" s="85"/>
      <c r="G118" s="85"/>
      <c r="N118" s="87"/>
    </row>
    <row r="119" spans="2:14" x14ac:dyDescent="0.2">
      <c r="B119" s="4" t="s">
        <v>0</v>
      </c>
      <c r="C119" s="4">
        <f>'processed | data'!B138</f>
        <v>0</v>
      </c>
      <c r="D119" s="4">
        <f>'processed | data'!B145</f>
        <v>0</v>
      </c>
      <c r="E119" s="85"/>
      <c r="F119" s="85"/>
      <c r="G119" s="85"/>
      <c r="N119" s="87"/>
    </row>
    <row r="120" spans="2:14" x14ac:dyDescent="0.2">
      <c r="B120" s="4"/>
      <c r="C120" s="4"/>
      <c r="D120" s="4"/>
      <c r="E120" s="85"/>
      <c r="F120" s="85"/>
      <c r="G120" s="85"/>
      <c r="N120" s="87"/>
    </row>
    <row r="121" spans="2:14" x14ac:dyDescent="0.2">
      <c r="B121" s="4"/>
      <c r="C121" s="4"/>
      <c r="D121" s="4"/>
      <c r="E121" s="85"/>
      <c r="F121" s="85"/>
      <c r="G121" s="85"/>
      <c r="N121" s="87"/>
    </row>
    <row r="122" spans="2:14" x14ac:dyDescent="0.2">
      <c r="B122" s="85"/>
      <c r="C122" s="85"/>
      <c r="D122" s="85"/>
      <c r="E122" s="85"/>
      <c r="F122" s="85"/>
      <c r="G122" s="85"/>
      <c r="N122" s="87"/>
    </row>
    <row r="123" spans="2:14" x14ac:dyDescent="0.2">
      <c r="B123" s="36" t="s">
        <v>144</v>
      </c>
      <c r="C123" s="36"/>
      <c r="D123" s="36"/>
      <c r="E123" s="85"/>
      <c r="F123" s="85"/>
      <c r="G123" s="85"/>
      <c r="N123" s="87"/>
    </row>
    <row r="124" spans="2:14" x14ac:dyDescent="0.2">
      <c r="B124" s="81" t="s">
        <v>143</v>
      </c>
      <c r="C124" s="68">
        <f>'processed | data'!B151</f>
        <v>0</v>
      </c>
      <c r="D124" s="81"/>
      <c r="E124" s="85"/>
      <c r="F124" s="85"/>
      <c r="G124" s="85"/>
      <c r="N124" s="87"/>
    </row>
    <row r="125" spans="2:14" x14ac:dyDescent="0.2">
      <c r="B125" s="81"/>
      <c r="C125" s="68"/>
      <c r="D125" s="81"/>
      <c r="E125" s="85"/>
      <c r="F125" s="85"/>
      <c r="G125" s="85"/>
      <c r="N125" s="87"/>
    </row>
    <row r="126" spans="2:14" x14ac:dyDescent="0.2">
      <c r="B126" s="82" t="s">
        <v>4</v>
      </c>
      <c r="C126" s="83" t="s">
        <v>34</v>
      </c>
      <c r="D126" s="81"/>
      <c r="E126" s="85"/>
      <c r="F126" s="85"/>
      <c r="G126" s="85"/>
      <c r="N126" s="87"/>
    </row>
    <row r="127" spans="2:14" x14ac:dyDescent="0.2">
      <c r="B127" s="81" t="s">
        <v>1</v>
      </c>
      <c r="C127" s="81">
        <f>INDEX( D$36:D$44, MATCH(B127, B$36:B$45,))</f>
        <v>0</v>
      </c>
      <c r="D127" s="81"/>
      <c r="E127" s="85"/>
      <c r="F127" s="85"/>
      <c r="G127" s="85"/>
      <c r="N127" s="87"/>
    </row>
    <row r="128" spans="2:14" x14ac:dyDescent="0.2">
      <c r="B128" s="81" t="s">
        <v>53</v>
      </c>
      <c r="C128" s="81">
        <f>INDEX( D$36:D$44, MATCH(B128, B$36:B$45,))</f>
        <v>0</v>
      </c>
      <c r="D128" s="81"/>
      <c r="E128" s="85"/>
      <c r="F128" s="85"/>
      <c r="G128" s="85"/>
      <c r="N128" s="87"/>
    </row>
    <row r="129" spans="2:14" x14ac:dyDescent="0.2">
      <c r="B129" s="81"/>
      <c r="C129" s="81"/>
      <c r="D129" s="81"/>
      <c r="E129" s="85"/>
      <c r="F129" s="85"/>
      <c r="G129" s="85"/>
      <c r="N129" s="87"/>
    </row>
    <row r="130" spans="2:14" x14ac:dyDescent="0.2">
      <c r="B130" s="82" t="s">
        <v>77</v>
      </c>
      <c r="C130" s="82">
        <f>SUM(C127:C128)</f>
        <v>0</v>
      </c>
      <c r="D130" s="81"/>
      <c r="E130" s="85"/>
      <c r="F130" s="85"/>
      <c r="G130" s="85"/>
      <c r="N130" s="87"/>
    </row>
    <row r="131" spans="2:14" x14ac:dyDescent="0.2">
      <c r="B131" s="82" t="s">
        <v>145</v>
      </c>
      <c r="C131" s="82" t="e">
        <f>ROUND((C130/C107)*100,0)</f>
        <v>#DIV/0!</v>
      </c>
      <c r="D131" s="81"/>
      <c r="E131" s="85"/>
      <c r="F131" s="85"/>
      <c r="G131" s="85"/>
      <c r="N131" s="87"/>
    </row>
    <row r="132" spans="2:14" x14ac:dyDescent="0.2">
      <c r="B132" s="85"/>
      <c r="C132" s="85"/>
      <c r="D132" s="85"/>
      <c r="E132" s="85"/>
      <c r="F132" s="85"/>
      <c r="G132" s="85"/>
      <c r="N132" s="87"/>
    </row>
    <row r="133" spans="2:14" x14ac:dyDescent="0.2">
      <c r="B133" s="17" t="s">
        <v>19</v>
      </c>
      <c r="C133" s="10"/>
      <c r="D133" s="85"/>
      <c r="E133" s="85"/>
      <c r="F133" s="85"/>
      <c r="G133" s="85"/>
      <c r="N133" s="87"/>
    </row>
    <row r="134" spans="2:14" x14ac:dyDescent="0.2">
      <c r="B134" s="18" t="s">
        <v>20</v>
      </c>
      <c r="C134" s="11">
        <f>'processed | data'!B155</f>
        <v>0</v>
      </c>
      <c r="D134" s="85"/>
      <c r="E134" s="85"/>
      <c r="F134" s="85"/>
      <c r="G134" s="85"/>
      <c r="N134" s="87"/>
    </row>
    <row r="135" spans="2:14" x14ac:dyDescent="0.2">
      <c r="B135" s="18" t="s">
        <v>21</v>
      </c>
      <c r="C135" s="11">
        <f>'processed | data'!B156</f>
        <v>0</v>
      </c>
      <c r="D135" s="85"/>
      <c r="E135" s="85"/>
      <c r="F135" s="85"/>
      <c r="G135" s="85"/>
      <c r="N135" s="87"/>
    </row>
    <row r="136" spans="2:14" x14ac:dyDescent="0.2">
      <c r="B136" s="18" t="s">
        <v>147</v>
      </c>
      <c r="C136" s="11">
        <f>'processed | data'!B157</f>
        <v>0</v>
      </c>
      <c r="D136" s="85"/>
      <c r="E136" s="85"/>
      <c r="F136" s="85"/>
      <c r="G136" s="85"/>
      <c r="N136" s="87"/>
    </row>
    <row r="137" spans="2:14" x14ac:dyDescent="0.2">
      <c r="B137" s="85"/>
      <c r="C137" s="85"/>
      <c r="D137" s="85"/>
      <c r="E137" s="85"/>
      <c r="F137" s="85"/>
      <c r="G137" s="85"/>
      <c r="N137" s="87"/>
    </row>
    <row r="138" spans="2:14" x14ac:dyDescent="0.2">
      <c r="B138" s="85"/>
      <c r="C138" s="85"/>
      <c r="D138" s="85"/>
      <c r="E138" s="85"/>
      <c r="F138" s="85"/>
      <c r="G138" s="85"/>
      <c r="N138" s="87"/>
    </row>
    <row r="139" spans="2:14" x14ac:dyDescent="0.2">
      <c r="B139" s="13" t="s">
        <v>62</v>
      </c>
      <c r="C139" s="13" t="s">
        <v>129</v>
      </c>
      <c r="D139" s="13"/>
      <c r="E139" s="85"/>
      <c r="F139" s="85"/>
      <c r="G139" s="85"/>
    </row>
    <row r="140" spans="2:14" x14ac:dyDescent="0.2">
      <c r="B140" s="6" t="s">
        <v>68</v>
      </c>
      <c r="C140" s="6">
        <f>'processed | data'!B162</f>
        <v>0</v>
      </c>
      <c r="D140" s="6"/>
      <c r="E140" s="85"/>
      <c r="F140" s="85"/>
      <c r="G140" s="85"/>
    </row>
    <row r="141" spans="2:14" x14ac:dyDescent="0.2">
      <c r="B141" s="6" t="s">
        <v>65</v>
      </c>
      <c r="C141" s="6">
        <f>'processed | data'!B163</f>
        <v>0</v>
      </c>
      <c r="D141" s="6"/>
      <c r="E141" s="85"/>
      <c r="F141" s="85"/>
      <c r="G141" s="85"/>
    </row>
    <row r="142" spans="2:14" x14ac:dyDescent="0.2">
      <c r="B142" s="6" t="s">
        <v>66</v>
      </c>
      <c r="C142" s="6">
        <f>'processed | data'!B164</f>
        <v>0</v>
      </c>
      <c r="D142" s="6"/>
      <c r="E142" s="85"/>
      <c r="F142" s="85"/>
      <c r="G142" s="85"/>
    </row>
    <row r="143" spans="2:14" x14ac:dyDescent="0.2">
      <c r="B143" s="6" t="s">
        <v>67</v>
      </c>
      <c r="C143" s="6">
        <f>'processed | data'!B165</f>
        <v>0</v>
      </c>
      <c r="D143" s="6"/>
      <c r="E143" s="85"/>
      <c r="F143" s="85"/>
      <c r="G143" s="85"/>
    </row>
    <row r="144" spans="2:14" x14ac:dyDescent="0.2">
      <c r="B144" s="6"/>
      <c r="C144" s="6"/>
      <c r="D144" s="6"/>
      <c r="E144" s="85"/>
      <c r="F144" s="85"/>
      <c r="G144" s="85"/>
    </row>
    <row r="145" spans="2:10" x14ac:dyDescent="0.2">
      <c r="B145" s="6" t="s">
        <v>63</v>
      </c>
      <c r="C145" s="6">
        <f>'processed | data'!B167</f>
        <v>0</v>
      </c>
      <c r="D145" s="6"/>
      <c r="E145" s="85"/>
      <c r="F145" s="85"/>
      <c r="G145" s="85"/>
    </row>
    <row r="146" spans="2:10" x14ac:dyDescent="0.2">
      <c r="B146" s="6" t="s">
        <v>64</v>
      </c>
      <c r="C146" s="6">
        <f>'processed | data'!B168</f>
        <v>0</v>
      </c>
      <c r="D146" s="6"/>
      <c r="E146" s="85"/>
      <c r="F146" s="85"/>
      <c r="G146" s="85"/>
    </row>
    <row r="147" spans="2:10" x14ac:dyDescent="0.2">
      <c r="B147" s="6"/>
      <c r="C147" s="6"/>
      <c r="D147" s="6"/>
      <c r="E147" s="85"/>
      <c r="F147" s="85"/>
      <c r="G147" s="85"/>
    </row>
    <row r="148" spans="2:10" x14ac:dyDescent="0.2">
      <c r="B148" s="85"/>
      <c r="C148" s="85"/>
      <c r="D148" s="85"/>
      <c r="E148" s="85"/>
      <c r="F148" s="85"/>
      <c r="G148" s="85"/>
    </row>
    <row r="149" spans="2:10" x14ac:dyDescent="0.2">
      <c r="B149" s="85"/>
      <c r="C149" s="85"/>
      <c r="D149" s="85"/>
      <c r="E149" s="85"/>
      <c r="F149" s="85"/>
      <c r="G149" s="85"/>
    </row>
    <row r="150" spans="2:10" x14ac:dyDescent="0.2">
      <c r="B150" s="85"/>
      <c r="C150" s="85"/>
      <c r="D150" s="85"/>
      <c r="E150" s="85"/>
      <c r="F150" s="85"/>
      <c r="G150" s="85"/>
    </row>
    <row r="151" spans="2:10" x14ac:dyDescent="0.2">
      <c r="B151" s="95" t="s">
        <v>156</v>
      </c>
      <c r="C151" s="95" t="s">
        <v>5</v>
      </c>
      <c r="D151" s="85"/>
      <c r="E151" s="85"/>
      <c r="F151" s="85"/>
      <c r="G151" s="85"/>
      <c r="I151" s="95" t="s">
        <v>156</v>
      </c>
      <c r="J151" s="95" t="s">
        <v>136</v>
      </c>
    </row>
    <row r="152" spans="2:10" x14ac:dyDescent="0.2">
      <c r="B152" s="4" t="e" vm="1">
        <f>'processed | data'!B174</f>
        <v>#VALUE!</v>
      </c>
      <c r="C152" s="4" t="e" vm="1">
        <f>'processed | data'!D174</f>
        <v>#VALUE!</v>
      </c>
      <c r="D152" s="85"/>
      <c r="E152" s="85"/>
      <c r="F152" s="85"/>
      <c r="G152" s="85"/>
      <c r="I152" s="4" t="e" cm="1" vm="1">
        <f t="array" ref="I152:I191">'processed | data'!B174:B213</f>
        <v>#VALUE!</v>
      </c>
      <c r="J152" s="4" t="e" cm="1" vm="1">
        <f t="array" ref="J152:J191">'processed | data'!E174:E213</f>
        <v>#VALUE!</v>
      </c>
    </row>
    <row r="153" spans="2:10" x14ac:dyDescent="0.2">
      <c r="B153" s="4" t="e">
        <f>'processed | data'!B175</f>
        <v>#N/A</v>
      </c>
      <c r="C153" s="4" t="e">
        <f>'processed | data'!D175</f>
        <v>#N/A</v>
      </c>
      <c r="D153" s="85"/>
      <c r="E153" s="85"/>
      <c r="F153" s="85"/>
      <c r="G153" s="85"/>
      <c r="I153" s="4" t="e">
        <v>#N/A</v>
      </c>
      <c r="J153" s="4" t="e">
        <v>#N/A</v>
      </c>
    </row>
    <row r="154" spans="2:10" x14ac:dyDescent="0.2">
      <c r="B154" s="4" t="e">
        <f>'processed | data'!B176</f>
        <v>#N/A</v>
      </c>
      <c r="C154" s="4" t="e">
        <f>'processed | data'!D176</f>
        <v>#N/A</v>
      </c>
      <c r="D154" s="85"/>
      <c r="E154" s="85"/>
      <c r="F154" s="85"/>
      <c r="G154" s="85"/>
      <c r="I154" s="4" t="e">
        <v>#N/A</v>
      </c>
      <c r="J154" s="4" t="e">
        <v>#N/A</v>
      </c>
    </row>
    <row r="155" spans="2:10" x14ac:dyDescent="0.2">
      <c r="B155" s="4" t="e">
        <f>'processed | data'!B177</f>
        <v>#N/A</v>
      </c>
      <c r="C155" s="4" t="e">
        <f>'processed | data'!D177</f>
        <v>#N/A</v>
      </c>
      <c r="D155" s="85"/>
      <c r="E155" s="85"/>
      <c r="F155" s="85"/>
      <c r="G155" s="85"/>
      <c r="I155" s="4" t="e">
        <v>#N/A</v>
      </c>
      <c r="J155" s="4" t="e">
        <v>#N/A</v>
      </c>
    </row>
    <row r="156" spans="2:10" x14ac:dyDescent="0.2">
      <c r="B156" s="4" t="e">
        <f>'processed | data'!B178</f>
        <v>#N/A</v>
      </c>
      <c r="C156" s="4" t="e">
        <f>'processed | data'!D178</f>
        <v>#N/A</v>
      </c>
      <c r="D156" s="85"/>
      <c r="E156" s="85"/>
      <c r="F156" s="85"/>
      <c r="G156" s="85"/>
      <c r="I156" s="4" t="e">
        <v>#N/A</v>
      </c>
      <c r="J156" s="4" t="e">
        <v>#N/A</v>
      </c>
    </row>
    <row r="157" spans="2:10" x14ac:dyDescent="0.2">
      <c r="B157" s="4" t="e">
        <f>'processed | data'!B179</f>
        <v>#N/A</v>
      </c>
      <c r="C157" s="4" t="e">
        <f>'processed | data'!D179</f>
        <v>#N/A</v>
      </c>
      <c r="D157" s="85"/>
      <c r="E157" s="85"/>
      <c r="F157" s="85"/>
      <c r="G157" s="85"/>
      <c r="I157" s="4" t="e">
        <v>#N/A</v>
      </c>
      <c r="J157" s="4" t="e">
        <v>#N/A</v>
      </c>
    </row>
    <row r="158" spans="2:10" x14ac:dyDescent="0.2">
      <c r="B158" s="4" t="e">
        <f>'processed | data'!B180</f>
        <v>#N/A</v>
      </c>
      <c r="C158" s="4" t="e">
        <f>'processed | data'!D180</f>
        <v>#N/A</v>
      </c>
      <c r="D158" s="85"/>
      <c r="E158" s="85"/>
      <c r="F158" s="85"/>
      <c r="G158" s="85"/>
      <c r="I158" s="4" t="e">
        <v>#N/A</v>
      </c>
      <c r="J158" s="4" t="e">
        <v>#N/A</v>
      </c>
    </row>
    <row r="159" spans="2:10" x14ac:dyDescent="0.2">
      <c r="B159" s="4" t="e">
        <f>'processed | data'!B181</f>
        <v>#N/A</v>
      </c>
      <c r="C159" s="4" t="e">
        <f>'processed | data'!D181</f>
        <v>#N/A</v>
      </c>
      <c r="D159" s="85"/>
      <c r="E159" s="85"/>
      <c r="F159" s="85"/>
      <c r="G159" s="85"/>
      <c r="I159" s="4" t="e">
        <v>#N/A</v>
      </c>
      <c r="J159" s="4" t="e">
        <v>#N/A</v>
      </c>
    </row>
    <row r="160" spans="2:10" x14ac:dyDescent="0.2">
      <c r="B160" s="4" t="e">
        <f>'processed | data'!B182</f>
        <v>#N/A</v>
      </c>
      <c r="C160" s="4" t="e">
        <f>'processed | data'!D182</f>
        <v>#N/A</v>
      </c>
      <c r="D160" s="85"/>
      <c r="E160" s="85"/>
      <c r="F160" s="85"/>
      <c r="G160" s="85"/>
      <c r="I160" s="4" t="e">
        <v>#N/A</v>
      </c>
      <c r="J160" s="4" t="e">
        <v>#N/A</v>
      </c>
    </row>
    <row r="161" spans="2:10" x14ac:dyDescent="0.2">
      <c r="B161" s="4" t="e">
        <f>'processed | data'!B183</f>
        <v>#N/A</v>
      </c>
      <c r="C161" s="4" t="e">
        <f>'processed | data'!D183</f>
        <v>#N/A</v>
      </c>
      <c r="D161" s="85"/>
      <c r="E161" s="85"/>
      <c r="F161" s="85"/>
      <c r="G161" s="85"/>
      <c r="I161" s="4" t="e">
        <v>#N/A</v>
      </c>
      <c r="J161" s="4" t="e">
        <v>#N/A</v>
      </c>
    </row>
    <row r="162" spans="2:10" x14ac:dyDescent="0.2">
      <c r="B162" s="4" t="e">
        <f>'processed | data'!B184</f>
        <v>#N/A</v>
      </c>
      <c r="C162" s="4" t="e">
        <f>'processed | data'!D184</f>
        <v>#N/A</v>
      </c>
      <c r="D162" s="85"/>
      <c r="E162" s="85"/>
      <c r="F162" s="85"/>
      <c r="G162" s="85"/>
      <c r="I162" s="4" t="e">
        <v>#N/A</v>
      </c>
      <c r="J162" s="4" t="e">
        <v>#N/A</v>
      </c>
    </row>
    <row r="163" spans="2:10" x14ac:dyDescent="0.2">
      <c r="B163" s="4" t="e">
        <f>'processed | data'!B185</f>
        <v>#N/A</v>
      </c>
      <c r="C163" s="4" t="e">
        <f>'processed | data'!D185</f>
        <v>#N/A</v>
      </c>
      <c r="D163" s="85"/>
      <c r="E163" s="85"/>
      <c r="F163" s="85"/>
      <c r="G163" s="85"/>
      <c r="I163" s="4" t="e">
        <v>#N/A</v>
      </c>
      <c r="J163" s="4" t="e">
        <v>#N/A</v>
      </c>
    </row>
    <row r="164" spans="2:10" x14ac:dyDescent="0.2">
      <c r="B164" s="4" t="e">
        <f>'processed | data'!B186</f>
        <v>#N/A</v>
      </c>
      <c r="C164" s="4" t="e">
        <f>'processed | data'!D186</f>
        <v>#N/A</v>
      </c>
      <c r="D164" s="85"/>
      <c r="E164" s="85"/>
      <c r="F164" s="85"/>
      <c r="G164" s="85"/>
      <c r="I164" s="4" t="e">
        <v>#N/A</v>
      </c>
      <c r="J164" s="4" t="e">
        <v>#N/A</v>
      </c>
    </row>
    <row r="165" spans="2:10" x14ac:dyDescent="0.2">
      <c r="B165" s="4" t="e">
        <f>'processed | data'!B187</f>
        <v>#N/A</v>
      </c>
      <c r="C165" s="4" t="e">
        <f>'processed | data'!D187</f>
        <v>#N/A</v>
      </c>
      <c r="D165" s="85"/>
      <c r="E165" s="85"/>
      <c r="F165" s="85"/>
      <c r="G165" s="85"/>
      <c r="I165" s="4" t="e">
        <v>#N/A</v>
      </c>
      <c r="J165" s="4" t="e">
        <v>#N/A</v>
      </c>
    </row>
    <row r="166" spans="2:10" x14ac:dyDescent="0.2">
      <c r="B166" s="4" t="e">
        <f>'processed | data'!B188</f>
        <v>#N/A</v>
      </c>
      <c r="C166" s="4" t="e">
        <f>'processed | data'!D188</f>
        <v>#N/A</v>
      </c>
      <c r="D166" s="85"/>
      <c r="E166" s="85"/>
      <c r="F166" s="85"/>
      <c r="G166" s="85"/>
      <c r="I166" s="4" t="e">
        <v>#N/A</v>
      </c>
      <c r="J166" s="4" t="e">
        <v>#N/A</v>
      </c>
    </row>
    <row r="167" spans="2:10" x14ac:dyDescent="0.2">
      <c r="B167" s="4" t="e">
        <f>'processed | data'!B189</f>
        <v>#N/A</v>
      </c>
      <c r="C167" s="4" t="e">
        <f>'processed | data'!D189</f>
        <v>#N/A</v>
      </c>
      <c r="D167" s="85"/>
      <c r="E167" s="85"/>
      <c r="F167" s="85"/>
      <c r="G167" s="85"/>
      <c r="I167" s="4" t="e">
        <v>#N/A</v>
      </c>
      <c r="J167" s="4" t="e">
        <v>#N/A</v>
      </c>
    </row>
    <row r="168" spans="2:10" x14ac:dyDescent="0.2">
      <c r="B168" s="4" t="e">
        <f>'processed | data'!B190</f>
        <v>#N/A</v>
      </c>
      <c r="C168" s="4" t="e">
        <f>'processed | data'!D190</f>
        <v>#N/A</v>
      </c>
      <c r="D168" s="85"/>
      <c r="E168" s="85"/>
      <c r="F168" s="85"/>
      <c r="G168" s="85"/>
      <c r="I168" s="4" t="e">
        <v>#N/A</v>
      </c>
      <c r="J168" s="4" t="e">
        <v>#N/A</v>
      </c>
    </row>
    <row r="169" spans="2:10" x14ac:dyDescent="0.2">
      <c r="B169" s="4" t="e">
        <f>'processed | data'!B191</f>
        <v>#N/A</v>
      </c>
      <c r="C169" s="4" t="e">
        <f>'processed | data'!D191</f>
        <v>#N/A</v>
      </c>
      <c r="D169" s="85"/>
      <c r="E169" s="85"/>
      <c r="F169" s="85"/>
      <c r="G169" s="85"/>
      <c r="I169" s="4" t="e">
        <v>#N/A</v>
      </c>
      <c r="J169" s="4" t="e">
        <v>#N/A</v>
      </c>
    </row>
    <row r="170" spans="2:10" x14ac:dyDescent="0.2">
      <c r="B170" s="4" t="e">
        <f>'processed | data'!B192</f>
        <v>#N/A</v>
      </c>
      <c r="C170" s="4" t="e">
        <f>'processed | data'!D192</f>
        <v>#N/A</v>
      </c>
      <c r="D170" s="85"/>
      <c r="E170" s="85"/>
      <c r="F170" s="85"/>
      <c r="G170" s="85"/>
      <c r="I170" s="4" t="e">
        <v>#N/A</v>
      </c>
      <c r="J170" s="4" t="e">
        <v>#N/A</v>
      </c>
    </row>
    <row r="171" spans="2:10" x14ac:dyDescent="0.2">
      <c r="B171" s="4" t="e">
        <f>'processed | data'!B193</f>
        <v>#N/A</v>
      </c>
      <c r="C171" s="4" t="e">
        <f>'processed | data'!D193</f>
        <v>#N/A</v>
      </c>
      <c r="D171" s="85"/>
      <c r="E171" s="85"/>
      <c r="F171" s="85"/>
      <c r="G171" s="85"/>
      <c r="I171" s="4" t="e">
        <v>#N/A</v>
      </c>
      <c r="J171" s="4" t="e">
        <v>#N/A</v>
      </c>
    </row>
    <row r="172" spans="2:10" x14ac:dyDescent="0.2">
      <c r="B172" s="4" t="e">
        <f>'processed | data'!B194</f>
        <v>#N/A</v>
      </c>
      <c r="C172" s="4" t="e">
        <f>'processed | data'!D194</f>
        <v>#N/A</v>
      </c>
      <c r="D172" s="85"/>
      <c r="E172" s="85"/>
      <c r="F172" s="85"/>
      <c r="G172" s="85"/>
      <c r="I172" s="4" t="e">
        <v>#N/A</v>
      </c>
      <c r="J172" s="4" t="e">
        <v>#N/A</v>
      </c>
    </row>
    <row r="173" spans="2:10" x14ac:dyDescent="0.2">
      <c r="B173" s="4" t="e">
        <f>'processed | data'!B195</f>
        <v>#N/A</v>
      </c>
      <c r="C173" s="4" t="e">
        <f>'processed | data'!D195</f>
        <v>#N/A</v>
      </c>
      <c r="D173" s="85"/>
      <c r="E173" s="85"/>
      <c r="F173" s="85"/>
      <c r="G173" s="85"/>
      <c r="I173" s="4" t="e">
        <v>#N/A</v>
      </c>
      <c r="J173" s="4" t="e">
        <v>#N/A</v>
      </c>
    </row>
    <row r="174" spans="2:10" x14ac:dyDescent="0.2">
      <c r="B174" s="4" t="e">
        <f>'processed | data'!B196</f>
        <v>#N/A</v>
      </c>
      <c r="C174" s="4" t="e">
        <f>'processed | data'!D196</f>
        <v>#N/A</v>
      </c>
      <c r="D174" s="85"/>
      <c r="E174" s="85"/>
      <c r="F174" s="85"/>
      <c r="G174" s="85"/>
      <c r="I174" s="4" t="e">
        <v>#N/A</v>
      </c>
      <c r="J174" s="4" t="e">
        <v>#N/A</v>
      </c>
    </row>
    <row r="175" spans="2:10" x14ac:dyDescent="0.2">
      <c r="B175" s="4" t="e">
        <f>'processed | data'!B197</f>
        <v>#N/A</v>
      </c>
      <c r="C175" s="4" t="e">
        <f>'processed | data'!D197</f>
        <v>#N/A</v>
      </c>
      <c r="D175" s="85"/>
      <c r="E175" s="85"/>
      <c r="F175" s="85"/>
      <c r="G175" s="85"/>
      <c r="I175" s="4" t="e">
        <v>#N/A</v>
      </c>
      <c r="J175" s="4" t="e">
        <v>#N/A</v>
      </c>
    </row>
    <row r="176" spans="2:10" x14ac:dyDescent="0.2">
      <c r="B176" s="4" t="e">
        <f>'processed | data'!B198</f>
        <v>#N/A</v>
      </c>
      <c r="C176" s="4" t="e">
        <f>'processed | data'!D198</f>
        <v>#N/A</v>
      </c>
      <c r="D176" s="85"/>
      <c r="E176" s="85"/>
      <c r="F176" s="85"/>
      <c r="G176" s="85"/>
      <c r="I176" s="4" t="e">
        <v>#N/A</v>
      </c>
      <c r="J176" s="4" t="e">
        <v>#N/A</v>
      </c>
    </row>
    <row r="177" spans="2:10" x14ac:dyDescent="0.2">
      <c r="B177" s="4" t="e">
        <f>'processed | data'!B199</f>
        <v>#N/A</v>
      </c>
      <c r="C177" s="4" t="e">
        <f>'processed | data'!D199</f>
        <v>#N/A</v>
      </c>
      <c r="D177" s="85"/>
      <c r="E177" s="85"/>
      <c r="F177" s="85"/>
      <c r="G177" s="85"/>
      <c r="I177" s="4" t="e">
        <v>#N/A</v>
      </c>
      <c r="J177" s="4" t="e">
        <v>#N/A</v>
      </c>
    </row>
    <row r="178" spans="2:10" x14ac:dyDescent="0.2">
      <c r="B178" s="4" t="e">
        <f>'processed | data'!B200</f>
        <v>#N/A</v>
      </c>
      <c r="C178" s="4" t="e">
        <f>'processed | data'!D200</f>
        <v>#N/A</v>
      </c>
      <c r="D178" s="85"/>
      <c r="E178" s="85"/>
      <c r="F178" s="85"/>
      <c r="G178" s="85"/>
      <c r="I178" s="4" t="e">
        <v>#N/A</v>
      </c>
      <c r="J178" s="4" t="e">
        <v>#N/A</v>
      </c>
    </row>
    <row r="179" spans="2:10" x14ac:dyDescent="0.2">
      <c r="B179" s="4" t="e">
        <f>'processed | data'!B201</f>
        <v>#N/A</v>
      </c>
      <c r="C179" s="4" t="e">
        <f>'processed | data'!D201</f>
        <v>#N/A</v>
      </c>
      <c r="D179" s="85"/>
      <c r="E179" s="85"/>
      <c r="F179" s="85"/>
      <c r="G179" s="85"/>
      <c r="I179" s="4" t="e">
        <v>#N/A</v>
      </c>
      <c r="J179" s="4" t="e">
        <v>#N/A</v>
      </c>
    </row>
    <row r="180" spans="2:10" x14ac:dyDescent="0.2">
      <c r="B180" s="4" t="e">
        <f>'processed | data'!B202</f>
        <v>#N/A</v>
      </c>
      <c r="C180" s="4" t="e">
        <f>'processed | data'!D202</f>
        <v>#N/A</v>
      </c>
      <c r="D180" s="85"/>
      <c r="E180" s="85"/>
      <c r="F180" s="85"/>
      <c r="G180" s="85"/>
      <c r="I180" s="4" t="e">
        <v>#N/A</v>
      </c>
      <c r="J180" s="4" t="e">
        <v>#N/A</v>
      </c>
    </row>
    <row r="181" spans="2:10" x14ac:dyDescent="0.2">
      <c r="B181" s="4" t="e">
        <f>'processed | data'!B203</f>
        <v>#N/A</v>
      </c>
      <c r="C181" s="4" t="e">
        <f>'processed | data'!D203</f>
        <v>#N/A</v>
      </c>
      <c r="D181" s="85"/>
      <c r="E181" s="85"/>
      <c r="F181" s="85"/>
      <c r="G181" s="85"/>
      <c r="I181" s="4" t="e">
        <v>#N/A</v>
      </c>
      <c r="J181" s="4" t="e">
        <v>#N/A</v>
      </c>
    </row>
    <row r="182" spans="2:10" x14ac:dyDescent="0.2">
      <c r="B182" s="4" t="e">
        <f>'processed | data'!B204</f>
        <v>#N/A</v>
      </c>
      <c r="C182" s="4" t="e">
        <f>'processed | data'!D204</f>
        <v>#N/A</v>
      </c>
      <c r="D182" s="85"/>
      <c r="E182" s="85"/>
      <c r="F182" s="85"/>
      <c r="G182" s="85"/>
      <c r="I182" s="4" t="e">
        <v>#N/A</v>
      </c>
      <c r="J182" s="4" t="e">
        <v>#N/A</v>
      </c>
    </row>
    <row r="183" spans="2:10" x14ac:dyDescent="0.2">
      <c r="B183" s="4" t="e">
        <f>'processed | data'!B205</f>
        <v>#N/A</v>
      </c>
      <c r="C183" s="4" t="e">
        <f>'processed | data'!D205</f>
        <v>#N/A</v>
      </c>
      <c r="D183" s="85"/>
      <c r="E183" s="85"/>
      <c r="F183" s="85"/>
      <c r="G183" s="85"/>
      <c r="I183" s="4" t="e">
        <v>#N/A</v>
      </c>
      <c r="J183" s="4" t="e">
        <v>#N/A</v>
      </c>
    </row>
    <row r="184" spans="2:10" x14ac:dyDescent="0.2">
      <c r="B184" s="4" t="e">
        <f>'processed | data'!B206</f>
        <v>#N/A</v>
      </c>
      <c r="C184" s="4" t="e">
        <f>'processed | data'!D206</f>
        <v>#N/A</v>
      </c>
      <c r="D184" s="85"/>
      <c r="E184" s="85"/>
      <c r="F184" s="85"/>
      <c r="G184" s="85"/>
      <c r="I184" s="4" t="e">
        <v>#N/A</v>
      </c>
      <c r="J184" s="4" t="e">
        <v>#N/A</v>
      </c>
    </row>
    <row r="185" spans="2:10" x14ac:dyDescent="0.2">
      <c r="B185" s="4" t="e">
        <f>'processed | data'!B207</f>
        <v>#N/A</v>
      </c>
      <c r="C185" s="4" t="e">
        <f>'processed | data'!D207</f>
        <v>#N/A</v>
      </c>
      <c r="D185" s="85"/>
      <c r="E185" s="85"/>
      <c r="F185" s="85"/>
      <c r="G185" s="85"/>
      <c r="I185" s="4" t="e">
        <v>#N/A</v>
      </c>
      <c r="J185" s="4" t="e">
        <v>#N/A</v>
      </c>
    </row>
    <row r="186" spans="2:10" x14ac:dyDescent="0.2">
      <c r="B186" s="4" t="e">
        <f>'processed | data'!B208</f>
        <v>#N/A</v>
      </c>
      <c r="C186" s="4" t="e">
        <f>'processed | data'!D208</f>
        <v>#N/A</v>
      </c>
      <c r="D186" s="85"/>
      <c r="E186" s="85"/>
      <c r="F186" s="85"/>
      <c r="G186" s="85"/>
      <c r="I186" s="4" t="e">
        <v>#N/A</v>
      </c>
      <c r="J186" s="4" t="e">
        <v>#N/A</v>
      </c>
    </row>
    <row r="187" spans="2:10" x14ac:dyDescent="0.2">
      <c r="B187" s="4" t="e">
        <f>'processed | data'!B209</f>
        <v>#N/A</v>
      </c>
      <c r="C187" s="4" t="e">
        <f>'processed | data'!D209</f>
        <v>#N/A</v>
      </c>
      <c r="D187" s="85"/>
      <c r="E187" s="85"/>
      <c r="F187" s="85"/>
      <c r="G187" s="85"/>
      <c r="I187" s="4" t="e">
        <v>#N/A</v>
      </c>
      <c r="J187" s="4" t="e">
        <v>#N/A</v>
      </c>
    </row>
    <row r="188" spans="2:10" x14ac:dyDescent="0.2">
      <c r="B188" s="4" t="e">
        <f>'processed | data'!B210</f>
        <v>#N/A</v>
      </c>
      <c r="C188" s="4" t="e">
        <f>'processed | data'!D210</f>
        <v>#N/A</v>
      </c>
      <c r="D188" s="85"/>
      <c r="E188" s="85"/>
      <c r="F188" s="85"/>
      <c r="G188" s="85"/>
      <c r="I188" s="4" t="e">
        <v>#N/A</v>
      </c>
      <c r="J188" s="4" t="e">
        <v>#N/A</v>
      </c>
    </row>
    <row r="189" spans="2:10" x14ac:dyDescent="0.2">
      <c r="B189" s="4" t="e">
        <f>'processed | data'!B211</f>
        <v>#N/A</v>
      </c>
      <c r="C189" s="4" t="e">
        <f>'processed | data'!D211</f>
        <v>#N/A</v>
      </c>
      <c r="D189" s="85"/>
      <c r="E189" s="85"/>
      <c r="F189" s="85"/>
      <c r="G189" s="85"/>
      <c r="I189" s="4" t="e">
        <v>#N/A</v>
      </c>
      <c r="J189" s="4" t="e">
        <v>#N/A</v>
      </c>
    </row>
    <row r="190" spans="2:10" x14ac:dyDescent="0.2">
      <c r="B190" s="4" t="e">
        <f>'processed | data'!B212</f>
        <v>#N/A</v>
      </c>
      <c r="C190" s="4" t="e">
        <f>'processed | data'!D212</f>
        <v>#N/A</v>
      </c>
      <c r="D190" s="85"/>
      <c r="E190" s="85"/>
      <c r="F190" s="85"/>
      <c r="G190" s="85"/>
      <c r="I190" s="4" t="e">
        <v>#N/A</v>
      </c>
      <c r="J190" s="4" t="e">
        <v>#N/A</v>
      </c>
    </row>
    <row r="191" spans="2:10" x14ac:dyDescent="0.2">
      <c r="B191" s="4" t="e">
        <f>'processed | data'!B213</f>
        <v>#N/A</v>
      </c>
      <c r="C191" s="4" t="e">
        <f>'processed | data'!D213</f>
        <v>#N/A</v>
      </c>
      <c r="D191" s="85"/>
      <c r="E191" s="85"/>
      <c r="F191" s="85"/>
      <c r="G191" s="85"/>
      <c r="I191" s="4" t="e">
        <v>#N/A</v>
      </c>
      <c r="J191" s="4" t="e">
        <v>#N/A</v>
      </c>
    </row>
    <row r="192" spans="2:10" x14ac:dyDescent="0.2">
      <c r="B192" s="85"/>
      <c r="C192" s="85"/>
      <c r="D192" s="85"/>
      <c r="E192" s="85"/>
      <c r="F192" s="85"/>
      <c r="G192" s="85"/>
    </row>
    <row r="193" spans="2:7" x14ac:dyDescent="0.2">
      <c r="B193" s="85"/>
      <c r="C193" s="85"/>
      <c r="D193" s="85"/>
      <c r="E193" s="85"/>
      <c r="F193" s="85"/>
      <c r="G193" s="85"/>
    </row>
    <row r="194" spans="2:7" x14ac:dyDescent="0.2">
      <c r="B194" s="85"/>
      <c r="C194" s="85"/>
      <c r="D194" s="85"/>
      <c r="E194" s="85"/>
      <c r="F194" s="85"/>
      <c r="G194" s="85"/>
    </row>
    <row r="195" spans="2:7" x14ac:dyDescent="0.2">
      <c r="B195" s="85"/>
      <c r="C195" s="85"/>
      <c r="D195" s="85"/>
      <c r="E195" s="85"/>
      <c r="F195" s="85"/>
      <c r="G195" s="85"/>
    </row>
    <row r="196" spans="2:7" x14ac:dyDescent="0.2">
      <c r="B196" s="85"/>
      <c r="C196" s="85"/>
      <c r="D196" s="85"/>
      <c r="E196" s="85"/>
      <c r="F196" s="85"/>
      <c r="G196" s="85"/>
    </row>
    <row r="197" spans="2:7" x14ac:dyDescent="0.2">
      <c r="B197" s="85"/>
      <c r="C197" s="85"/>
      <c r="D197" s="85"/>
      <c r="E197" s="85"/>
      <c r="F197" s="85"/>
      <c r="G197" s="85"/>
    </row>
    <row r="198" spans="2:7" x14ac:dyDescent="0.2">
      <c r="B198" s="85"/>
      <c r="C198" s="85"/>
      <c r="D198" s="85"/>
      <c r="E198" s="85"/>
      <c r="F198" s="85"/>
      <c r="G198" s="85"/>
    </row>
    <row r="199" spans="2:7" x14ac:dyDescent="0.2">
      <c r="B199" s="85"/>
      <c r="C199" s="85"/>
      <c r="D199" s="85"/>
      <c r="E199" s="85"/>
      <c r="F199" s="85"/>
      <c r="G199" s="85"/>
    </row>
    <row r="200" spans="2:7" x14ac:dyDescent="0.2">
      <c r="B200" s="85"/>
      <c r="C200" s="85"/>
      <c r="D200" s="85"/>
      <c r="E200" s="85"/>
      <c r="F200" s="85"/>
      <c r="G200" s="85"/>
    </row>
    <row r="201" spans="2:7" x14ac:dyDescent="0.2">
      <c r="B201" s="85"/>
      <c r="C201" s="85"/>
      <c r="D201" s="85"/>
      <c r="E201" s="85"/>
      <c r="F201" s="85"/>
      <c r="G201" s="85"/>
    </row>
    <row r="202" spans="2:7" x14ac:dyDescent="0.2">
      <c r="B202" s="85"/>
      <c r="C202" s="85"/>
      <c r="D202" s="85"/>
      <c r="E202" s="85"/>
      <c r="F202" s="85"/>
      <c r="G202" s="85"/>
    </row>
    <row r="203" spans="2:7" x14ac:dyDescent="0.2">
      <c r="B203" s="85"/>
      <c r="C203" s="85"/>
      <c r="D203" s="85"/>
      <c r="E203" s="85"/>
      <c r="F203" s="85"/>
      <c r="G203" s="85"/>
    </row>
    <row r="204" spans="2:7" x14ac:dyDescent="0.2">
      <c r="B204" s="85"/>
      <c r="C204" s="85"/>
      <c r="D204" s="85"/>
      <c r="E204" s="85"/>
      <c r="F204" s="85"/>
      <c r="G204" s="85"/>
    </row>
    <row r="205" spans="2:7" x14ac:dyDescent="0.2">
      <c r="B205" s="85"/>
      <c r="C205" s="85"/>
      <c r="D205" s="85"/>
      <c r="E205" s="85"/>
      <c r="F205" s="85"/>
      <c r="G205" s="85"/>
    </row>
    <row r="206" spans="2:7" x14ac:dyDescent="0.2">
      <c r="B206" s="85"/>
      <c r="C206" s="85"/>
      <c r="D206" s="85"/>
      <c r="E206" s="85"/>
      <c r="F206" s="85"/>
      <c r="G206" s="85"/>
    </row>
    <row r="207" spans="2:7" x14ac:dyDescent="0.2">
      <c r="B207" s="85"/>
      <c r="C207" s="85"/>
      <c r="D207" s="85"/>
      <c r="E207" s="85"/>
      <c r="F207" s="85"/>
      <c r="G207" s="85"/>
    </row>
    <row r="208" spans="2:7" x14ac:dyDescent="0.2">
      <c r="B208" s="85"/>
      <c r="C208" s="85"/>
      <c r="D208" s="85"/>
      <c r="E208" s="85"/>
      <c r="F208" s="85"/>
      <c r="G208" s="85"/>
    </row>
    <row r="209" spans="2:7" x14ac:dyDescent="0.2">
      <c r="B209" s="85"/>
      <c r="C209" s="85"/>
      <c r="D209" s="85"/>
      <c r="E209" s="85"/>
      <c r="F209" s="85"/>
      <c r="G209" s="85"/>
    </row>
    <row r="210" spans="2:7" x14ac:dyDescent="0.2">
      <c r="B210" s="85"/>
      <c r="C210" s="85"/>
      <c r="D210" s="85"/>
      <c r="E210" s="85"/>
      <c r="F210" s="85"/>
      <c r="G210" s="85"/>
    </row>
    <row r="211" spans="2:7" x14ac:dyDescent="0.2">
      <c r="B211" s="85"/>
      <c r="C211" s="85"/>
      <c r="D211" s="85"/>
      <c r="E211" s="85"/>
      <c r="F211" s="85"/>
      <c r="G211" s="85"/>
    </row>
    <row r="212" spans="2:7" x14ac:dyDescent="0.2">
      <c r="B212" s="85"/>
      <c r="C212" s="85"/>
      <c r="D212" s="85"/>
      <c r="E212" s="85"/>
      <c r="F212" s="85"/>
      <c r="G212" s="85"/>
    </row>
    <row r="213" spans="2:7" x14ac:dyDescent="0.2">
      <c r="B213" s="85"/>
      <c r="C213" s="85"/>
      <c r="D213" s="85"/>
      <c r="E213" s="85"/>
      <c r="F213" s="85"/>
      <c r="G213" s="85"/>
    </row>
    <row r="214" spans="2:7" x14ac:dyDescent="0.2">
      <c r="B214" s="85"/>
      <c r="C214" s="85"/>
      <c r="D214" s="85"/>
      <c r="E214" s="85"/>
      <c r="F214" s="85"/>
      <c r="G214" s="85"/>
    </row>
    <row r="215" spans="2:7" x14ac:dyDescent="0.2">
      <c r="B215" s="85"/>
      <c r="C215" s="85"/>
      <c r="D215" s="85"/>
      <c r="E215" s="85"/>
      <c r="F215" s="85"/>
      <c r="G215" s="85"/>
    </row>
    <row r="216" spans="2:7" x14ac:dyDescent="0.2">
      <c r="B216" s="85"/>
      <c r="C216" s="85"/>
      <c r="D216" s="85"/>
      <c r="E216" s="85"/>
      <c r="F216" s="85"/>
      <c r="G216" s="85"/>
    </row>
    <row r="217" spans="2:7" x14ac:dyDescent="0.2">
      <c r="B217" s="85"/>
      <c r="C217" s="85"/>
      <c r="D217" s="85"/>
      <c r="E217" s="85"/>
      <c r="F217" s="85"/>
      <c r="G217" s="85"/>
    </row>
    <row r="218" spans="2:7" x14ac:dyDescent="0.2">
      <c r="B218" s="85"/>
      <c r="C218" s="85"/>
      <c r="D218" s="85"/>
      <c r="E218" s="85"/>
      <c r="F218" s="85"/>
      <c r="G218" s="85"/>
    </row>
    <row r="219" spans="2:7" x14ac:dyDescent="0.2">
      <c r="B219" s="85"/>
      <c r="C219" s="85"/>
      <c r="D219" s="85"/>
      <c r="E219" s="85"/>
      <c r="F219" s="85"/>
      <c r="G219" s="85"/>
    </row>
    <row r="220" spans="2:7" x14ac:dyDescent="0.2">
      <c r="B220" s="85"/>
      <c r="C220" s="85"/>
      <c r="D220" s="85"/>
      <c r="E220" s="85"/>
      <c r="F220" s="85"/>
      <c r="G220" s="85"/>
    </row>
    <row r="221" spans="2:7" x14ac:dyDescent="0.2">
      <c r="B221" s="85"/>
      <c r="C221" s="85"/>
      <c r="D221" s="85"/>
      <c r="E221" s="85"/>
      <c r="F221" s="85"/>
      <c r="G221" s="85"/>
    </row>
  </sheetData>
  <mergeCells count="8">
    <mergeCell ref="B6:C6"/>
    <mergeCell ref="B32:C32"/>
    <mergeCell ref="C104:D104"/>
    <mergeCell ref="E104:F104"/>
    <mergeCell ref="C34:D34"/>
    <mergeCell ref="C49:D49"/>
    <mergeCell ref="C64:D64"/>
    <mergeCell ref="C79:D7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A0C3C-2FB9-4CCC-B828-1927EB5F5FF7}">
  <sheetPr>
    <tabColor rgb="FFCC6600"/>
  </sheetPr>
  <dimension ref="A1:F1001"/>
  <sheetViews>
    <sheetView topLeftCell="A65" workbookViewId="0">
      <selection activeCell="B200" sqref="B200"/>
    </sheetView>
  </sheetViews>
  <sheetFormatPr baseColWidth="10" defaultColWidth="8.83203125" defaultRowHeight="15" x14ac:dyDescent="0.2"/>
  <cols>
    <col min="1" max="1" width="60.83203125" customWidth="1"/>
    <col min="2" max="2" width="16.6640625" style="47" customWidth="1"/>
    <col min="3" max="3" width="4.6640625" style="47" customWidth="1"/>
    <col min="4" max="4" width="54.33203125" style="48" customWidth="1"/>
    <col min="5" max="5" width="18.33203125" style="48" customWidth="1"/>
    <col min="6" max="6" width="29.1640625" customWidth="1"/>
    <col min="7" max="7" width="39.5" customWidth="1"/>
  </cols>
  <sheetData>
    <row r="1" spans="1:6" s="51" customFormat="1" ht="26" x14ac:dyDescent="0.3">
      <c r="A1" s="50" t="s">
        <v>121</v>
      </c>
    </row>
    <row r="2" spans="1:6" s="3" customFormat="1" x14ac:dyDescent="0.2">
      <c r="A2" s="3" t="s">
        <v>132</v>
      </c>
      <c r="F2" s="8"/>
    </row>
    <row r="3" spans="1:6" x14ac:dyDescent="0.2">
      <c r="B3"/>
      <c r="C3"/>
      <c r="D3"/>
      <c r="E3"/>
      <c r="F3" s="2"/>
    </row>
    <row r="4" spans="1:6" ht="26" x14ac:dyDescent="0.2">
      <c r="A4" s="75" t="s">
        <v>137</v>
      </c>
      <c r="B4" s="75"/>
      <c r="C4" s="75"/>
      <c r="D4" s="75"/>
      <c r="E4" s="75"/>
      <c r="F4" s="75"/>
    </row>
    <row r="5" spans="1:6" x14ac:dyDescent="0.2">
      <c r="A5" s="77" t="s">
        <v>137</v>
      </c>
      <c r="B5" s="77"/>
      <c r="C5"/>
      <c r="D5" s="72" t="s">
        <v>118</v>
      </c>
      <c r="E5" s="72" t="s">
        <v>119</v>
      </c>
      <c r="F5" s="2"/>
    </row>
    <row r="6" spans="1:6" x14ac:dyDescent="0.2">
      <c r="A6" s="11" t="s">
        <v>138</v>
      </c>
      <c r="B6" s="71" cm="1">
        <f t="array" ref="B6">IFERROR(INDEX('rawdata | iteration analysis'!$2:$2, E6), 0)</f>
        <v>0</v>
      </c>
      <c r="C6"/>
      <c r="D6" s="48" t="s">
        <v>87</v>
      </c>
      <c r="E6" s="48" t="e">
        <f>MATCH(D6, 'rawdata | iteration analysis'!$1:$1, )</f>
        <v>#N/A</v>
      </c>
      <c r="F6" s="2"/>
    </row>
    <row r="7" spans="1:6" x14ac:dyDescent="0.2">
      <c r="A7" s="11" t="s">
        <v>139</v>
      </c>
      <c r="B7" s="71" cm="1">
        <f t="array" ref="B7">IFERROR(INDEX('rawdata | iteration analysis'!$2:$2, E7), 0)</f>
        <v>0</v>
      </c>
      <c r="C7"/>
      <c r="D7" s="48" t="s">
        <v>88</v>
      </c>
      <c r="E7" s="48" t="e">
        <f>MATCH(D7, 'rawdata | iteration analysis'!$1:$1, )</f>
        <v>#N/A</v>
      </c>
      <c r="F7" s="2"/>
    </row>
    <row r="8" spans="1:6" x14ac:dyDescent="0.2">
      <c r="A8" s="11" t="s">
        <v>140</v>
      </c>
      <c r="B8" s="78" cm="1">
        <f t="array" ref="B8">IFERROR(INDEX('rawdata | iteration analysis'!$2:$2, E8), 0)</f>
        <v>0</v>
      </c>
      <c r="C8"/>
      <c r="D8" s="48" t="s">
        <v>89</v>
      </c>
      <c r="E8" s="48" t="e">
        <f>MATCH(D8, 'rawdata | iteration analysis'!$1:$1, )</f>
        <v>#N/A</v>
      </c>
      <c r="F8" s="2"/>
    </row>
    <row r="9" spans="1:6" x14ac:dyDescent="0.2">
      <c r="A9" s="11" t="s">
        <v>141</v>
      </c>
      <c r="B9" s="78" cm="1">
        <f t="array" ref="B9">IFERROR(INDEX('rawdata | iteration analysis'!$2:$2, E9), 0)</f>
        <v>0</v>
      </c>
      <c r="C9"/>
      <c r="D9" s="48" t="s">
        <v>90</v>
      </c>
      <c r="E9" s="48" t="e">
        <f>MATCH(D9, 'rawdata | iteration analysis'!$1:$1, )</f>
        <v>#N/A</v>
      </c>
      <c r="F9" s="2"/>
    </row>
    <row r="10" spans="1:6" x14ac:dyDescent="0.2">
      <c r="B10"/>
      <c r="C10"/>
      <c r="D10"/>
      <c r="E10"/>
      <c r="F10" s="2"/>
    </row>
    <row r="11" spans="1:6" x14ac:dyDescent="0.2">
      <c r="B11"/>
      <c r="C11"/>
      <c r="D11"/>
      <c r="E11"/>
      <c r="F11" s="2"/>
    </row>
    <row r="12" spans="1:6" x14ac:dyDescent="0.2">
      <c r="B12"/>
      <c r="C12"/>
      <c r="D12"/>
      <c r="E12"/>
      <c r="F12" s="2"/>
    </row>
    <row r="13" spans="1:6" x14ac:dyDescent="0.2">
      <c r="B13"/>
      <c r="C13"/>
      <c r="D13"/>
      <c r="E13"/>
      <c r="F13" s="2"/>
    </row>
    <row r="14" spans="1:6" x14ac:dyDescent="0.2">
      <c r="B14"/>
      <c r="C14"/>
      <c r="D14"/>
      <c r="E14"/>
      <c r="F14" s="2"/>
    </row>
    <row r="15" spans="1:6" ht="39.5" customHeight="1" x14ac:dyDescent="0.2">
      <c r="A15" s="75" t="s">
        <v>133</v>
      </c>
      <c r="B15" s="75"/>
      <c r="C15" s="75"/>
      <c r="D15" s="76" t="s">
        <v>134</v>
      </c>
      <c r="E15" s="75"/>
      <c r="F15" s="75"/>
    </row>
    <row r="16" spans="1:6" s="2" customFormat="1" x14ac:dyDescent="0.2">
      <c r="A16" s="9" t="s">
        <v>117</v>
      </c>
      <c r="B16" s="9" t="s">
        <v>86</v>
      </c>
      <c r="C16" s="49"/>
      <c r="D16" s="72" t="s">
        <v>118</v>
      </c>
      <c r="E16" s="72" t="s">
        <v>119</v>
      </c>
    </row>
    <row r="17" spans="1:5" x14ac:dyDescent="0.2">
      <c r="A17" s="64" t="str">
        <f>'Calculated Stats'!B8</f>
        <v>BAU</v>
      </c>
      <c r="B17" s="33" cm="1">
        <f t="array" ref="B17">IFERROR(INDEX('rawdata | iteration analysis'!$2:$2, E17), 0)</f>
        <v>0</v>
      </c>
      <c r="D17" s="48" t="str">
        <f>_xlfn.CONCAT("labels_", A17,"_",D$15)</f>
        <v>labels_BAU_storyPoints</v>
      </c>
      <c r="E17" s="48" t="e">
        <f>MATCH(D17, 'rawdata | iteration analysis'!$1:$1, )</f>
        <v>#N/A</v>
      </c>
    </row>
    <row r="18" spans="1:5" x14ac:dyDescent="0.2">
      <c r="A18" s="64" t="str">
        <f>'Calculated Stats'!B9</f>
        <v>Improvement</v>
      </c>
      <c r="B18" s="33" cm="1">
        <f t="array" ref="B18">IFERROR(INDEX('rawdata | iteration analysis'!$2:$2, E18), 0)</f>
        <v>0</v>
      </c>
      <c r="D18" s="48" t="str">
        <f>_xlfn.CONCAT("labels_", A18,"_",D$15)</f>
        <v>labels_Improvement_storyPoints</v>
      </c>
      <c r="E18" s="48" t="e">
        <f>MATCH(D18, 'rawdata | iteration analysis'!$1:$1, )</f>
        <v>#N/A</v>
      </c>
    </row>
    <row r="19" spans="1:5" x14ac:dyDescent="0.2">
      <c r="A19" s="64" t="str">
        <f>'Calculated Stats'!B10</f>
        <v>label3</v>
      </c>
      <c r="B19" s="33" cm="1">
        <f t="array" ref="B19">IFERROR(INDEX('rawdata | iteration analysis'!$2:$2, E19), 0)</f>
        <v>0</v>
      </c>
      <c r="D19" s="48" t="str">
        <f>_xlfn.CONCAT("labels_", A19,"_",D$15)</f>
        <v>labels_label3_storyPoints</v>
      </c>
      <c r="E19" s="48" t="e">
        <f>MATCH(D19, 'rawdata | iteration analysis'!$1:$1, )</f>
        <v>#N/A</v>
      </c>
    </row>
    <row r="20" spans="1:5" x14ac:dyDescent="0.2">
      <c r="A20" s="64" t="str">
        <f>'Calculated Stats'!B11</f>
        <v>label4</v>
      </c>
      <c r="B20" s="33" cm="1">
        <f t="array" ref="B20">IFERROR(INDEX('rawdata | iteration analysis'!$2:$2, E20), 0)</f>
        <v>0</v>
      </c>
      <c r="D20" s="48" t="str">
        <f>_xlfn.CONCAT("labels_", A20, "_",D$15)</f>
        <v>labels_label4_storyPoints</v>
      </c>
      <c r="E20" s="48" t="e">
        <f>MATCH(D20, 'rawdata | iteration analysis'!$1:$1, )</f>
        <v>#N/A</v>
      </c>
    </row>
    <row r="21" spans="1:5" x14ac:dyDescent="0.2">
      <c r="A21" s="64">
        <f>'Calculated Stats'!B12</f>
        <v>5</v>
      </c>
      <c r="B21" s="33" cm="1">
        <f t="array" ref="B21">IFERROR(INDEX('rawdata | iteration analysis'!$2:$2, E21), 0)</f>
        <v>0</v>
      </c>
      <c r="D21" s="48" t="str">
        <f>_xlfn.CONCAT("labels_", A21,"_",D$15)</f>
        <v>labels_5_storyPoints</v>
      </c>
      <c r="E21" s="48" t="e">
        <f>MATCH(D21, 'rawdata | iteration analysis'!$1:$1, )</f>
        <v>#N/A</v>
      </c>
    </row>
    <row r="22" spans="1:5" x14ac:dyDescent="0.2">
      <c r="A22" s="64">
        <f>'Calculated Stats'!B13</f>
        <v>6</v>
      </c>
      <c r="B22" s="33" cm="1">
        <f t="array" ref="B22">IFERROR(INDEX('rawdata | iteration analysis'!$2:$2, E22), 0)</f>
        <v>0</v>
      </c>
      <c r="D22" s="48" t="str">
        <f>_xlfn.CONCAT("labels_", A22, "_",D$15)</f>
        <v>labels_6_storyPoints</v>
      </c>
      <c r="E22" s="48" t="e">
        <f>MATCH(D22, 'rawdata | iteration analysis'!$1:$1, )</f>
        <v>#N/A</v>
      </c>
    </row>
    <row r="23" spans="1:5" x14ac:dyDescent="0.2">
      <c r="A23" s="64">
        <f>'Calculated Stats'!B14</f>
        <v>7</v>
      </c>
      <c r="B23" s="33" cm="1">
        <f t="array" ref="B23">IFERROR(INDEX('rawdata | iteration analysis'!$2:$2, E23), 0)</f>
        <v>0</v>
      </c>
      <c r="D23" s="48" t="str">
        <f>_xlfn.CONCAT("labels_", A23,"_",D$15)</f>
        <v>labels_7_storyPoints</v>
      </c>
      <c r="E23" s="48" t="e">
        <f>MATCH(D23, 'rawdata | iteration analysis'!$1:$1, )</f>
        <v>#N/A</v>
      </c>
    </row>
    <row r="24" spans="1:5" x14ac:dyDescent="0.2">
      <c r="A24" s="64">
        <f>'Calculated Stats'!B15</f>
        <v>8</v>
      </c>
      <c r="B24" s="33" cm="1">
        <f t="array" ref="B24">IFERROR(INDEX('rawdata | iteration analysis'!$2:$2, E24), 0)</f>
        <v>0</v>
      </c>
      <c r="D24" s="48" t="str">
        <f>_xlfn.CONCAT("labels_", A24,"_",D$15)</f>
        <v>labels_8_storyPoints</v>
      </c>
      <c r="E24" s="48" t="e">
        <f>MATCH(D24, 'rawdata | iteration analysis'!$1:$1, )</f>
        <v>#N/A</v>
      </c>
    </row>
    <row r="25" spans="1:5" x14ac:dyDescent="0.2">
      <c r="A25" s="64">
        <f>'Calculated Stats'!B16</f>
        <v>9</v>
      </c>
      <c r="B25" s="33" cm="1">
        <f t="array" ref="B25">IFERROR(INDEX('rawdata | iteration analysis'!$2:$2, E25), 0)</f>
        <v>0</v>
      </c>
      <c r="D25" s="48" t="str">
        <f>_xlfn.CONCAT("labels_", A25,"_",D$15)</f>
        <v>labels_9_storyPoints</v>
      </c>
      <c r="E25" s="48" t="e">
        <f>MATCH(D25, 'rawdata | iteration analysis'!$1:$1, )</f>
        <v>#N/A</v>
      </c>
    </row>
    <row r="26" spans="1:5" x14ac:dyDescent="0.2">
      <c r="A26" s="64">
        <f>'Calculated Stats'!B17</f>
        <v>10</v>
      </c>
      <c r="B26" s="33" cm="1">
        <f t="array" ref="B26">IFERROR(INDEX('rawdata | iteration analysis'!$2:$2, E26), 0)</f>
        <v>0</v>
      </c>
      <c r="D26" s="48" t="str">
        <f>_xlfn.CONCAT("labels_", A26,"_",D$15)</f>
        <v>labels_10_storyPoints</v>
      </c>
      <c r="E26" s="48" t="e">
        <f>MATCH(D26, 'rawdata | iteration analysis'!$1:$1, )</f>
        <v>#N/A</v>
      </c>
    </row>
    <row r="27" spans="1:5" x14ac:dyDescent="0.2">
      <c r="D27" s="47"/>
      <c r="E27" s="47"/>
    </row>
    <row r="28" spans="1:5" s="2" customFormat="1" x14ac:dyDescent="0.2">
      <c r="A28" s="9" t="s">
        <v>116</v>
      </c>
      <c r="B28" s="65"/>
      <c r="C28" s="49"/>
      <c r="D28" s="72" t="s">
        <v>118</v>
      </c>
      <c r="E28" s="72" t="s">
        <v>119</v>
      </c>
    </row>
    <row r="29" spans="1:5" x14ac:dyDescent="0.2">
      <c r="A29" s="64" t="str">
        <f>'Calculated Stats'!B8</f>
        <v>BAU</v>
      </c>
      <c r="B29" s="33" cm="1">
        <f t="array" ref="B29">IFERROR(INDEX('rawdata | iteration analysis'!$2:$2, E29), 0)</f>
        <v>0</v>
      </c>
      <c r="D29" s="48" t="str">
        <f t="shared" ref="D29:D38" si="0">_xlfn.CONCAT("completedLabels_", A29,"_",D$15)</f>
        <v>completedLabels_BAU_storyPoints</v>
      </c>
      <c r="E29" s="48" t="e">
        <f>MATCH(D29, 'rawdata | iteration analysis'!$1:$1, )</f>
        <v>#N/A</v>
      </c>
    </row>
    <row r="30" spans="1:5" x14ac:dyDescent="0.2">
      <c r="A30" s="64" t="str">
        <f>'Calculated Stats'!B9</f>
        <v>Improvement</v>
      </c>
      <c r="B30" s="33" cm="1">
        <f t="array" ref="B30">IFERROR(INDEX('rawdata | iteration analysis'!$2:$2, E30), 0)</f>
        <v>0</v>
      </c>
      <c r="D30" s="48" t="str">
        <f t="shared" si="0"/>
        <v>completedLabels_Improvement_storyPoints</v>
      </c>
      <c r="E30" s="48" t="e">
        <f>MATCH(D30, 'rawdata | iteration analysis'!$1:$1, )</f>
        <v>#N/A</v>
      </c>
    </row>
    <row r="31" spans="1:5" x14ac:dyDescent="0.2">
      <c r="A31" s="64" t="str">
        <f>'Calculated Stats'!B10</f>
        <v>label3</v>
      </c>
      <c r="B31" s="33" cm="1">
        <f t="array" ref="B31">IFERROR(INDEX('rawdata | iteration analysis'!$2:$2, E31), 0)</f>
        <v>0</v>
      </c>
      <c r="D31" s="48" t="str">
        <f t="shared" si="0"/>
        <v>completedLabels_label3_storyPoints</v>
      </c>
      <c r="E31" s="48" t="e">
        <f>MATCH(D31, 'rawdata | iteration analysis'!$1:$1, )</f>
        <v>#N/A</v>
      </c>
    </row>
    <row r="32" spans="1:5" x14ac:dyDescent="0.2">
      <c r="A32" s="64" t="str">
        <f>'Calculated Stats'!B11</f>
        <v>label4</v>
      </c>
      <c r="B32" s="33" cm="1">
        <f t="array" ref="B32">IFERROR(INDEX('rawdata | iteration analysis'!$2:$2, E32), 0)</f>
        <v>0</v>
      </c>
      <c r="D32" s="48" t="str">
        <f t="shared" si="0"/>
        <v>completedLabels_label4_storyPoints</v>
      </c>
      <c r="E32" s="48" t="e">
        <f>MATCH(D32, 'rawdata | iteration analysis'!$1:$1, )</f>
        <v>#N/A</v>
      </c>
    </row>
    <row r="33" spans="1:5" x14ac:dyDescent="0.2">
      <c r="A33" s="64">
        <f>'Calculated Stats'!B12</f>
        <v>5</v>
      </c>
      <c r="B33" s="33" cm="1">
        <f t="array" ref="B33">IFERROR(INDEX('rawdata | iteration analysis'!$2:$2, E33), 0)</f>
        <v>0</v>
      </c>
      <c r="D33" s="48" t="str">
        <f t="shared" si="0"/>
        <v>completedLabels_5_storyPoints</v>
      </c>
      <c r="E33" s="48" t="e">
        <f>MATCH(D33, 'rawdata | iteration analysis'!$1:$1, )</f>
        <v>#N/A</v>
      </c>
    </row>
    <row r="34" spans="1:5" x14ac:dyDescent="0.2">
      <c r="A34" s="64">
        <f>'Calculated Stats'!B13</f>
        <v>6</v>
      </c>
      <c r="B34" s="33" cm="1">
        <f t="array" ref="B34">IFERROR(INDEX('rawdata | iteration analysis'!$2:$2, E34), 0)</f>
        <v>0</v>
      </c>
      <c r="D34" s="48" t="str">
        <f t="shared" si="0"/>
        <v>completedLabels_6_storyPoints</v>
      </c>
      <c r="E34" s="48" t="e">
        <f>MATCH(D34, 'rawdata | iteration analysis'!$1:$1, )</f>
        <v>#N/A</v>
      </c>
    </row>
    <row r="35" spans="1:5" x14ac:dyDescent="0.2">
      <c r="A35" s="64">
        <f>'Calculated Stats'!B14</f>
        <v>7</v>
      </c>
      <c r="B35" s="33" cm="1">
        <f t="array" ref="B35">IFERROR(INDEX('rawdata | iteration analysis'!$2:$2, E35), 0)</f>
        <v>0</v>
      </c>
      <c r="D35" s="48" t="str">
        <f t="shared" si="0"/>
        <v>completedLabels_7_storyPoints</v>
      </c>
      <c r="E35" s="48" t="e">
        <f>MATCH(D35, 'rawdata | iteration analysis'!$1:$1, )</f>
        <v>#N/A</v>
      </c>
    </row>
    <row r="36" spans="1:5" x14ac:dyDescent="0.2">
      <c r="A36" s="64">
        <f>'Calculated Stats'!B15</f>
        <v>8</v>
      </c>
      <c r="B36" s="33" cm="1">
        <f t="array" ref="B36">IFERROR(INDEX('rawdata | iteration analysis'!$2:$2, E36), 0)</f>
        <v>0</v>
      </c>
      <c r="D36" s="48" t="str">
        <f t="shared" si="0"/>
        <v>completedLabels_8_storyPoints</v>
      </c>
      <c r="E36" s="48" t="e">
        <f>MATCH(D36, 'rawdata | iteration analysis'!$1:$1, )</f>
        <v>#N/A</v>
      </c>
    </row>
    <row r="37" spans="1:5" x14ac:dyDescent="0.2">
      <c r="A37" s="64">
        <f>'Calculated Stats'!B16</f>
        <v>9</v>
      </c>
      <c r="B37" s="33" cm="1">
        <f t="array" ref="B37">IFERROR(INDEX('rawdata | iteration analysis'!$2:$2, E37), 0)</f>
        <v>0</v>
      </c>
      <c r="D37" s="48" t="str">
        <f t="shared" si="0"/>
        <v>completedLabels_9_storyPoints</v>
      </c>
      <c r="E37" s="48" t="e">
        <f>MATCH(D37, 'rawdata | iteration analysis'!$1:$1, )</f>
        <v>#N/A</v>
      </c>
    </row>
    <row r="38" spans="1:5" x14ac:dyDescent="0.2">
      <c r="A38" s="64">
        <f>'Calculated Stats'!B17</f>
        <v>10</v>
      </c>
      <c r="B38" s="33" cm="1">
        <f t="array" ref="B38">IFERROR(INDEX('rawdata | iteration analysis'!$2:$2, E38), 0)</f>
        <v>0</v>
      </c>
      <c r="D38" s="48" t="str">
        <f t="shared" si="0"/>
        <v>completedLabels_10_storyPoints</v>
      </c>
      <c r="E38" s="48" t="e">
        <f>MATCH(D38, 'rawdata | iteration analysis'!$1:$1, )</f>
        <v>#N/A</v>
      </c>
    </row>
    <row r="39" spans="1:5" x14ac:dyDescent="0.2">
      <c r="D39"/>
      <c r="E39"/>
    </row>
    <row r="40" spans="1:5" s="2" customFormat="1" x14ac:dyDescent="0.2">
      <c r="A40" s="35" t="s">
        <v>120</v>
      </c>
      <c r="B40" s="66"/>
      <c r="C40" s="49"/>
      <c r="D40" s="72" t="s">
        <v>118</v>
      </c>
      <c r="E40" s="72" t="s">
        <v>119</v>
      </c>
    </row>
    <row r="41" spans="1:5" x14ac:dyDescent="0.2">
      <c r="A41" s="67" t="str">
        <f>'Calculated Stats'!C8</f>
        <v>component1</v>
      </c>
      <c r="B41" s="68" cm="1">
        <f t="array" ref="B41">IFERROR(INDEX('rawdata | iteration analysis'!$2:$2, E41), 0)</f>
        <v>0</v>
      </c>
      <c r="D41" s="48" t="str">
        <f t="shared" ref="D41:D50" si="1">_xlfn.CONCAT("components_", A41,"_",D$15)</f>
        <v>components_component1_storyPoints</v>
      </c>
      <c r="E41" s="48" t="e">
        <f>MATCH(D41, 'rawdata | iteration analysis'!$1:$1, )</f>
        <v>#N/A</v>
      </c>
    </row>
    <row r="42" spans="1:5" x14ac:dyDescent="0.2">
      <c r="A42" s="67" t="str">
        <f>'Calculated Stats'!C9</f>
        <v>component2</v>
      </c>
      <c r="B42" s="68" cm="1">
        <f t="array" ref="B42">IFERROR(INDEX('rawdata | iteration analysis'!$2:$2, E42), 0)</f>
        <v>0</v>
      </c>
      <c r="D42" s="48" t="str">
        <f t="shared" si="1"/>
        <v>components_component2_storyPoints</v>
      </c>
      <c r="E42" s="48" t="e">
        <f>MATCH(D42, 'rawdata | iteration analysis'!$1:$1, )</f>
        <v>#N/A</v>
      </c>
    </row>
    <row r="43" spans="1:5" x14ac:dyDescent="0.2">
      <c r="A43" s="67" t="str">
        <f>'Calculated Stats'!C10</f>
        <v>component3</v>
      </c>
      <c r="B43" s="68" cm="1">
        <f t="array" ref="B43">IFERROR(INDEX('rawdata | iteration analysis'!$2:$2, E43), 0)</f>
        <v>0</v>
      </c>
      <c r="D43" s="48" t="str">
        <f t="shared" si="1"/>
        <v>components_component3_storyPoints</v>
      </c>
      <c r="E43" s="48" t="e">
        <f>MATCH(D43, 'rawdata | iteration analysis'!$1:$1, )</f>
        <v>#N/A</v>
      </c>
    </row>
    <row r="44" spans="1:5" x14ac:dyDescent="0.2">
      <c r="A44" s="67">
        <f>'Calculated Stats'!C11</f>
        <v>0</v>
      </c>
      <c r="B44" s="68" cm="1">
        <f t="array" ref="B44">IFERROR(INDEX('rawdata | iteration analysis'!$2:$2, E44), 0)</f>
        <v>0</v>
      </c>
      <c r="D44" s="48" t="str">
        <f t="shared" si="1"/>
        <v>components_0_storyPoints</v>
      </c>
      <c r="E44" s="48" t="e">
        <f>MATCH(D44, 'rawdata | iteration analysis'!$1:$1, )</f>
        <v>#N/A</v>
      </c>
    </row>
    <row r="45" spans="1:5" x14ac:dyDescent="0.2">
      <c r="A45" s="67">
        <f>'Calculated Stats'!C12</f>
        <v>5</v>
      </c>
      <c r="B45" s="68" cm="1">
        <f t="array" ref="B45">IFERROR(INDEX('rawdata | iteration analysis'!$2:$2, E45), 0)</f>
        <v>0</v>
      </c>
      <c r="D45" s="48" t="str">
        <f t="shared" si="1"/>
        <v>components_5_storyPoints</v>
      </c>
      <c r="E45" s="48" t="e">
        <f>MATCH(D45, 'rawdata | iteration analysis'!$1:$1, )</f>
        <v>#N/A</v>
      </c>
    </row>
    <row r="46" spans="1:5" x14ac:dyDescent="0.2">
      <c r="A46" s="67">
        <f>'Calculated Stats'!C13</f>
        <v>6</v>
      </c>
      <c r="B46" s="68" cm="1">
        <f t="array" ref="B46">IFERROR(INDEX('rawdata | iteration analysis'!$2:$2, E46), 0)</f>
        <v>0</v>
      </c>
      <c r="D46" s="48" t="str">
        <f t="shared" si="1"/>
        <v>components_6_storyPoints</v>
      </c>
      <c r="E46" s="48" t="e">
        <f>MATCH(D46, 'rawdata | iteration analysis'!$1:$1, )</f>
        <v>#N/A</v>
      </c>
    </row>
    <row r="47" spans="1:5" x14ac:dyDescent="0.2">
      <c r="A47" s="67">
        <f>'Calculated Stats'!C14</f>
        <v>7</v>
      </c>
      <c r="B47" s="68" cm="1">
        <f t="array" ref="B47">IFERROR(INDEX('rawdata | iteration analysis'!$2:$2, E47), 0)</f>
        <v>0</v>
      </c>
      <c r="D47" s="48" t="str">
        <f t="shared" si="1"/>
        <v>components_7_storyPoints</v>
      </c>
      <c r="E47" s="48" t="e">
        <f>MATCH(D47, 'rawdata | iteration analysis'!$1:$1, )</f>
        <v>#N/A</v>
      </c>
    </row>
    <row r="48" spans="1:5" x14ac:dyDescent="0.2">
      <c r="A48" s="67">
        <f>'Calculated Stats'!C15</f>
        <v>8</v>
      </c>
      <c r="B48" s="68" cm="1">
        <f t="array" ref="B48">IFERROR(INDEX('rawdata | iteration analysis'!$2:$2, E48), 0)</f>
        <v>0</v>
      </c>
      <c r="D48" s="48" t="str">
        <f t="shared" si="1"/>
        <v>components_8_storyPoints</v>
      </c>
      <c r="E48" s="48" t="e">
        <f>MATCH(D48, 'rawdata | iteration analysis'!$1:$1, )</f>
        <v>#N/A</v>
      </c>
    </row>
    <row r="49" spans="1:6" x14ac:dyDescent="0.2">
      <c r="A49" s="67">
        <f>'Calculated Stats'!C16</f>
        <v>9</v>
      </c>
      <c r="B49" s="68" cm="1">
        <f t="array" ref="B49">IFERROR(INDEX('rawdata | iteration analysis'!$2:$2, E49), 0)</f>
        <v>0</v>
      </c>
      <c r="D49" s="48" t="str">
        <f t="shared" si="1"/>
        <v>components_9_storyPoints</v>
      </c>
      <c r="E49" s="48" t="e">
        <f>MATCH(D49, 'rawdata | iteration analysis'!$1:$1, )</f>
        <v>#N/A</v>
      </c>
    </row>
    <row r="50" spans="1:6" x14ac:dyDescent="0.2">
      <c r="A50" s="67">
        <f>'Calculated Stats'!C17</f>
        <v>10</v>
      </c>
      <c r="B50" s="68" cm="1">
        <f t="array" ref="B50">IFERROR(INDEX('rawdata | iteration analysis'!$2:$2, E50), 0)</f>
        <v>0</v>
      </c>
      <c r="D50" s="48" t="str">
        <f t="shared" si="1"/>
        <v>components_10_storyPoints</v>
      </c>
      <c r="E50" s="48" t="e">
        <f>MATCH(D50, 'rawdata | iteration analysis'!$1:$1, )</f>
        <v>#N/A</v>
      </c>
    </row>
    <row r="51" spans="1:6" x14ac:dyDescent="0.2">
      <c r="A51" s="1"/>
      <c r="D51"/>
      <c r="E51"/>
    </row>
    <row r="52" spans="1:6" s="2" customFormat="1" x14ac:dyDescent="0.2">
      <c r="A52" s="35" t="s">
        <v>135</v>
      </c>
      <c r="B52" s="66"/>
      <c r="C52" s="49"/>
      <c r="D52" s="72" t="s">
        <v>118</v>
      </c>
      <c r="E52" s="72" t="s">
        <v>119</v>
      </c>
    </row>
    <row r="53" spans="1:6" x14ac:dyDescent="0.2">
      <c r="A53" s="67" t="str">
        <f>'Calculated Stats'!C8</f>
        <v>component1</v>
      </c>
      <c r="B53" s="68" cm="1">
        <f t="array" ref="B53">IFERROR(INDEX('rawdata | iteration analysis'!$2:$2, E53), 0)</f>
        <v>0</v>
      </c>
      <c r="D53" s="48" t="str">
        <f t="shared" ref="D53:D62" si="2">_xlfn.CONCAT("completedComponents_", A53,"_",D$15)</f>
        <v>completedComponents_component1_storyPoints</v>
      </c>
      <c r="E53" s="48" t="e">
        <f>MATCH(D53, 'rawdata | iteration analysis'!$1:$1, )</f>
        <v>#N/A</v>
      </c>
    </row>
    <row r="54" spans="1:6" x14ac:dyDescent="0.2">
      <c r="A54" s="67" t="str">
        <f>'Calculated Stats'!C9</f>
        <v>component2</v>
      </c>
      <c r="B54" s="68" cm="1">
        <f t="array" ref="B54">IFERROR(INDEX('rawdata | iteration analysis'!$2:$2, E54), 0)</f>
        <v>0</v>
      </c>
      <c r="D54" s="48" t="str">
        <f t="shared" si="2"/>
        <v>completedComponents_component2_storyPoints</v>
      </c>
      <c r="E54" s="48" t="e">
        <f>MATCH(D54, 'rawdata | iteration analysis'!$1:$1, )</f>
        <v>#N/A</v>
      </c>
    </row>
    <row r="55" spans="1:6" x14ac:dyDescent="0.2">
      <c r="A55" s="67" t="str">
        <f>'Calculated Stats'!C10</f>
        <v>component3</v>
      </c>
      <c r="B55" s="68" cm="1">
        <f t="array" ref="B55">IFERROR(INDEX('rawdata | iteration analysis'!$2:$2, E55), 0)</f>
        <v>0</v>
      </c>
      <c r="D55" s="48" t="str">
        <f t="shared" si="2"/>
        <v>completedComponents_component3_storyPoints</v>
      </c>
      <c r="E55" s="48" t="e">
        <f>MATCH(D55, 'rawdata | iteration analysis'!$1:$1, )</f>
        <v>#N/A</v>
      </c>
    </row>
    <row r="56" spans="1:6" x14ac:dyDescent="0.2">
      <c r="A56" s="67">
        <f>'Calculated Stats'!C11</f>
        <v>0</v>
      </c>
      <c r="B56" s="68" cm="1">
        <f t="array" ref="B56">IFERROR(INDEX('rawdata | iteration analysis'!$2:$2, E56), 0)</f>
        <v>0</v>
      </c>
      <c r="D56" s="48" t="str">
        <f t="shared" si="2"/>
        <v>completedComponents_0_storyPoints</v>
      </c>
      <c r="E56" s="48" t="e">
        <f>MATCH(D56, 'rawdata | iteration analysis'!$1:$1, )</f>
        <v>#N/A</v>
      </c>
    </row>
    <row r="57" spans="1:6" x14ac:dyDescent="0.2">
      <c r="A57" s="67">
        <f>'Calculated Stats'!C12</f>
        <v>5</v>
      </c>
      <c r="B57" s="68" cm="1">
        <f t="array" ref="B57">IFERROR(INDEX('rawdata | iteration analysis'!$2:$2, E57), 0)</f>
        <v>0</v>
      </c>
      <c r="D57" s="48" t="str">
        <f t="shared" si="2"/>
        <v>completedComponents_5_storyPoints</v>
      </c>
      <c r="E57" s="48" t="e">
        <f>MATCH(D57, 'rawdata | iteration analysis'!$1:$1, )</f>
        <v>#N/A</v>
      </c>
    </row>
    <row r="58" spans="1:6" x14ac:dyDescent="0.2">
      <c r="A58" s="67">
        <f>'Calculated Stats'!C13</f>
        <v>6</v>
      </c>
      <c r="B58" s="68" cm="1">
        <f t="array" ref="B58">IFERROR(INDEX('rawdata | iteration analysis'!$2:$2, E58), 0)</f>
        <v>0</v>
      </c>
      <c r="D58" s="48" t="str">
        <f t="shared" si="2"/>
        <v>completedComponents_6_storyPoints</v>
      </c>
      <c r="E58" s="48" t="e">
        <f>MATCH(D58, 'rawdata | iteration analysis'!$1:$1, )</f>
        <v>#N/A</v>
      </c>
    </row>
    <row r="59" spans="1:6" x14ac:dyDescent="0.2">
      <c r="A59" s="67">
        <f>'Calculated Stats'!C14</f>
        <v>7</v>
      </c>
      <c r="B59" s="68" cm="1">
        <f t="array" ref="B59">IFERROR(INDEX('rawdata | iteration analysis'!$2:$2, E59), 0)</f>
        <v>0</v>
      </c>
      <c r="D59" s="48" t="str">
        <f t="shared" si="2"/>
        <v>completedComponents_7_storyPoints</v>
      </c>
      <c r="E59" s="48" t="e">
        <f>MATCH(D59, 'rawdata | iteration analysis'!$1:$1, )</f>
        <v>#N/A</v>
      </c>
    </row>
    <row r="60" spans="1:6" x14ac:dyDescent="0.2">
      <c r="A60" s="67">
        <f>'Calculated Stats'!C15</f>
        <v>8</v>
      </c>
      <c r="B60" s="68" cm="1">
        <f t="array" ref="B60">IFERROR(INDEX('rawdata | iteration analysis'!$2:$2, E60), 0)</f>
        <v>0</v>
      </c>
      <c r="D60" s="48" t="str">
        <f t="shared" si="2"/>
        <v>completedComponents_8_storyPoints</v>
      </c>
      <c r="E60" s="48" t="e">
        <f>MATCH(D60, 'rawdata | iteration analysis'!$1:$1, )</f>
        <v>#N/A</v>
      </c>
    </row>
    <row r="61" spans="1:6" x14ac:dyDescent="0.2">
      <c r="A61" s="67">
        <f>'Calculated Stats'!C16</f>
        <v>9</v>
      </c>
      <c r="B61" s="68" cm="1">
        <f t="array" ref="B61">IFERROR(INDEX('rawdata | iteration analysis'!$2:$2, E61), 0)</f>
        <v>0</v>
      </c>
      <c r="D61" s="48" t="str">
        <f t="shared" si="2"/>
        <v>completedComponents_9_storyPoints</v>
      </c>
      <c r="E61" s="48" t="e">
        <f>MATCH(D61, 'rawdata | iteration analysis'!$1:$1, )</f>
        <v>#N/A</v>
      </c>
    </row>
    <row r="62" spans="1:6" x14ac:dyDescent="0.2">
      <c r="A62" s="67">
        <f>'Calculated Stats'!C17</f>
        <v>10</v>
      </c>
      <c r="B62" s="68" cm="1">
        <f t="array" ref="B62">IFERROR(INDEX('rawdata | iteration analysis'!$2:$2, E62), 0)</f>
        <v>0</v>
      </c>
      <c r="D62" s="48" t="str">
        <f t="shared" si="2"/>
        <v>completedComponents_10_storyPoints</v>
      </c>
      <c r="E62" s="48" t="e">
        <f>MATCH(D62, 'rawdata | iteration analysis'!$1:$1, )</f>
        <v>#N/A</v>
      </c>
    </row>
    <row r="63" spans="1:6" x14ac:dyDescent="0.2">
      <c r="A63" s="1"/>
      <c r="D63" s="47"/>
      <c r="E63" s="47"/>
      <c r="F63" s="47"/>
    </row>
    <row r="64" spans="1:6" x14ac:dyDescent="0.2">
      <c r="D64" s="47"/>
      <c r="E64" s="47"/>
      <c r="F64" s="47"/>
    </row>
    <row r="65" spans="1:6" x14ac:dyDescent="0.2">
      <c r="D65" s="47"/>
      <c r="E65" s="47"/>
      <c r="F65" s="47"/>
    </row>
    <row r="66" spans="1:6" ht="39.5" customHeight="1" x14ac:dyDescent="0.2">
      <c r="A66" s="75" t="s">
        <v>133</v>
      </c>
      <c r="B66" s="75"/>
      <c r="C66" s="75"/>
      <c r="D66" s="75" t="s">
        <v>136</v>
      </c>
      <c r="E66" s="75"/>
      <c r="F66" s="75"/>
    </row>
    <row r="67" spans="1:6" s="2" customFormat="1" x14ac:dyDescent="0.2">
      <c r="A67" s="9" t="s">
        <v>117</v>
      </c>
      <c r="B67" s="9" t="s">
        <v>86</v>
      </c>
      <c r="C67" s="49"/>
      <c r="D67" s="72" t="s">
        <v>118</v>
      </c>
      <c r="E67" s="72" t="s">
        <v>119</v>
      </c>
    </row>
    <row r="68" spans="1:6" x14ac:dyDescent="0.2">
      <c r="A68" s="64" t="str">
        <f>'Calculated Stats'!B8</f>
        <v>BAU</v>
      </c>
      <c r="B68" s="33" cm="1">
        <f t="array" ref="B68">IFERROR(INDEX('rawdata | iteration analysis'!$2:$2, E68), 0)</f>
        <v>0</v>
      </c>
      <c r="D68" s="48" t="str">
        <f>_xlfn.CONCAT("labels_", A68,"_",D$66)</f>
        <v>labels_BAU_count</v>
      </c>
      <c r="E68" s="48" t="e">
        <f>MATCH(D68, 'rawdata | iteration analysis'!$1:$1, )</f>
        <v>#N/A</v>
      </c>
    </row>
    <row r="69" spans="1:6" x14ac:dyDescent="0.2">
      <c r="A69" s="64" t="str">
        <f>'Calculated Stats'!B9</f>
        <v>Improvement</v>
      </c>
      <c r="B69" s="33" cm="1">
        <f t="array" ref="B69">IFERROR(INDEX('rawdata | iteration analysis'!$2:$2, E69), 0)</f>
        <v>0</v>
      </c>
      <c r="D69" s="48" t="str">
        <f>_xlfn.CONCAT("labels_", A69,"_",D$66)</f>
        <v>labels_Improvement_count</v>
      </c>
      <c r="E69" s="48" t="e">
        <f>MATCH(D69, 'rawdata | iteration analysis'!$1:$1, )</f>
        <v>#N/A</v>
      </c>
    </row>
    <row r="70" spans="1:6" x14ac:dyDescent="0.2">
      <c r="A70" s="64" t="str">
        <f>'Calculated Stats'!B10</f>
        <v>label3</v>
      </c>
      <c r="B70" s="33" cm="1">
        <f t="array" ref="B70">IFERROR(INDEX('rawdata | iteration analysis'!$2:$2, E70), 0)</f>
        <v>0</v>
      </c>
      <c r="D70" s="48" t="str">
        <f>_xlfn.CONCAT("labels_", A70,"_",D$66)</f>
        <v>labels_label3_count</v>
      </c>
      <c r="E70" s="48" t="e">
        <f>MATCH(D70, 'rawdata | iteration analysis'!$1:$1, )</f>
        <v>#N/A</v>
      </c>
    </row>
    <row r="71" spans="1:6" x14ac:dyDescent="0.2">
      <c r="A71" s="64" t="str">
        <f>'Calculated Stats'!B11</f>
        <v>label4</v>
      </c>
      <c r="B71" s="33" cm="1">
        <f t="array" ref="B71">IFERROR(INDEX('rawdata | iteration analysis'!$2:$2, E71), 0)</f>
        <v>0</v>
      </c>
      <c r="D71" s="48" t="str">
        <f>_xlfn.CONCAT("labels_", A71, "_",D$66)</f>
        <v>labels_label4_count</v>
      </c>
      <c r="E71" s="48" t="e">
        <f>MATCH(D71, 'rawdata | iteration analysis'!$1:$1, )</f>
        <v>#N/A</v>
      </c>
    </row>
    <row r="72" spans="1:6" x14ac:dyDescent="0.2">
      <c r="A72" s="64">
        <f>'Calculated Stats'!B12</f>
        <v>5</v>
      </c>
      <c r="B72" s="33" cm="1">
        <f t="array" ref="B72">IFERROR(INDEX('rawdata | iteration analysis'!$2:$2, E72), 0)</f>
        <v>0</v>
      </c>
      <c r="D72" s="48" t="str">
        <f>_xlfn.CONCAT("labels_", A72,"_",D$66)</f>
        <v>labels_5_count</v>
      </c>
      <c r="E72" s="48" t="e">
        <f>MATCH(D72, 'rawdata | iteration analysis'!$1:$1, )</f>
        <v>#N/A</v>
      </c>
    </row>
    <row r="73" spans="1:6" x14ac:dyDescent="0.2">
      <c r="A73" s="64">
        <f>'Calculated Stats'!B13</f>
        <v>6</v>
      </c>
      <c r="B73" s="33" cm="1">
        <f t="array" ref="B73">IFERROR(INDEX('rawdata | iteration analysis'!$2:$2, E73), 0)</f>
        <v>0</v>
      </c>
      <c r="D73" s="48" t="str">
        <f>_xlfn.CONCAT("labels_", A73, "_",D$66)</f>
        <v>labels_6_count</v>
      </c>
      <c r="E73" s="48" t="e">
        <f>MATCH(D73, 'rawdata | iteration analysis'!$1:$1, )</f>
        <v>#N/A</v>
      </c>
    </row>
    <row r="74" spans="1:6" x14ac:dyDescent="0.2">
      <c r="A74" s="64">
        <f>'Calculated Stats'!B14</f>
        <v>7</v>
      </c>
      <c r="B74" s="33" cm="1">
        <f t="array" ref="B74">IFERROR(INDEX('rawdata | iteration analysis'!$2:$2, E74), 0)</f>
        <v>0</v>
      </c>
      <c r="D74" s="48" t="str">
        <f>_xlfn.CONCAT("labels_", A74,"_",D$66)</f>
        <v>labels_7_count</v>
      </c>
      <c r="E74" s="48" t="e">
        <f>MATCH(D74, 'rawdata | iteration analysis'!$1:$1, )</f>
        <v>#N/A</v>
      </c>
    </row>
    <row r="75" spans="1:6" x14ac:dyDescent="0.2">
      <c r="A75" s="64">
        <f>'Calculated Stats'!B15</f>
        <v>8</v>
      </c>
      <c r="B75" s="33" cm="1">
        <f t="array" ref="B75">IFERROR(INDEX('rawdata | iteration analysis'!$2:$2, E75), 0)</f>
        <v>0</v>
      </c>
      <c r="D75" s="48" t="str">
        <f>_xlfn.CONCAT("labels_", A75,"_",D$66)</f>
        <v>labels_8_count</v>
      </c>
      <c r="E75" s="48" t="e">
        <f>MATCH(D75, 'rawdata | iteration analysis'!$1:$1, )</f>
        <v>#N/A</v>
      </c>
    </row>
    <row r="76" spans="1:6" x14ac:dyDescent="0.2">
      <c r="A76" s="64">
        <f>'Calculated Stats'!B16</f>
        <v>9</v>
      </c>
      <c r="B76" s="33" cm="1">
        <f t="array" ref="B76">IFERROR(INDEX('rawdata | iteration analysis'!$2:$2, E76), 0)</f>
        <v>0</v>
      </c>
      <c r="D76" s="48" t="str">
        <f>_xlfn.CONCAT("labels_", A76,"_",D$66)</f>
        <v>labels_9_count</v>
      </c>
      <c r="E76" s="48" t="e">
        <f>MATCH(D76, 'rawdata | iteration analysis'!$1:$1, )</f>
        <v>#N/A</v>
      </c>
    </row>
    <row r="77" spans="1:6" x14ac:dyDescent="0.2">
      <c r="A77" s="64">
        <f>'Calculated Stats'!B17</f>
        <v>10</v>
      </c>
      <c r="B77" s="33" cm="1">
        <f t="array" ref="B77">IFERROR(INDEX('rawdata | iteration analysis'!$2:$2, E77), 0)</f>
        <v>0</v>
      </c>
      <c r="D77" s="48" t="str">
        <f>_xlfn.CONCAT("labels_", A77,"_",D$66)</f>
        <v>labels_10_count</v>
      </c>
      <c r="E77" s="48" t="e">
        <f>MATCH(D77, 'rawdata | iteration analysis'!$1:$1, )</f>
        <v>#N/A</v>
      </c>
    </row>
    <row r="78" spans="1:6" x14ac:dyDescent="0.2">
      <c r="D78" s="47"/>
      <c r="E78" s="47"/>
    </row>
    <row r="79" spans="1:6" s="2" customFormat="1" x14ac:dyDescent="0.2">
      <c r="A79" s="9" t="s">
        <v>116</v>
      </c>
      <c r="B79" s="65"/>
      <c r="C79" s="49"/>
      <c r="D79" s="72" t="s">
        <v>118</v>
      </c>
      <c r="E79" s="72" t="s">
        <v>119</v>
      </c>
    </row>
    <row r="80" spans="1:6" x14ac:dyDescent="0.2">
      <c r="A80" s="64" t="str">
        <f>'Calculated Stats'!B8</f>
        <v>BAU</v>
      </c>
      <c r="B80" s="33" cm="1">
        <f t="array" ref="B80">IFERROR(INDEX('rawdata | iteration analysis'!$2:$2, E80), 0)</f>
        <v>0</v>
      </c>
      <c r="D80" s="48" t="str">
        <f t="shared" ref="D80:D89" si="3">_xlfn.CONCAT("completedLabels_", A80,"_",D$66)</f>
        <v>completedLabels_BAU_count</v>
      </c>
      <c r="E80" s="48" t="e">
        <f>MATCH(D80, 'rawdata | iteration analysis'!$1:$1, )</f>
        <v>#N/A</v>
      </c>
    </row>
    <row r="81" spans="1:5" x14ac:dyDescent="0.2">
      <c r="A81" s="64" t="str">
        <f>'Calculated Stats'!B9</f>
        <v>Improvement</v>
      </c>
      <c r="B81" s="33" cm="1">
        <f t="array" ref="B81">IFERROR(INDEX('rawdata | iteration analysis'!$2:$2, E81), 0)</f>
        <v>0</v>
      </c>
      <c r="D81" s="48" t="str">
        <f t="shared" si="3"/>
        <v>completedLabels_Improvement_count</v>
      </c>
      <c r="E81" s="48" t="e">
        <f>MATCH(D81, 'rawdata | iteration analysis'!$1:$1, )</f>
        <v>#N/A</v>
      </c>
    </row>
    <row r="82" spans="1:5" x14ac:dyDescent="0.2">
      <c r="A82" s="64" t="str">
        <f>'Calculated Stats'!B10</f>
        <v>label3</v>
      </c>
      <c r="B82" s="33" cm="1">
        <f t="array" ref="B82">IFERROR(INDEX('rawdata | iteration analysis'!$2:$2, E82), 0)</f>
        <v>0</v>
      </c>
      <c r="D82" s="48" t="str">
        <f t="shared" si="3"/>
        <v>completedLabels_label3_count</v>
      </c>
      <c r="E82" s="48" t="e">
        <f>MATCH(D82, 'rawdata | iteration analysis'!$1:$1, )</f>
        <v>#N/A</v>
      </c>
    </row>
    <row r="83" spans="1:5" x14ac:dyDescent="0.2">
      <c r="A83" s="64" t="str">
        <f>'Calculated Stats'!B11</f>
        <v>label4</v>
      </c>
      <c r="B83" s="33" cm="1">
        <f t="array" ref="B83">IFERROR(INDEX('rawdata | iteration analysis'!$2:$2, E83), 0)</f>
        <v>0</v>
      </c>
      <c r="D83" s="48" t="str">
        <f t="shared" si="3"/>
        <v>completedLabels_label4_count</v>
      </c>
      <c r="E83" s="48" t="e">
        <f>MATCH(D83, 'rawdata | iteration analysis'!$1:$1, )</f>
        <v>#N/A</v>
      </c>
    </row>
    <row r="84" spans="1:5" x14ac:dyDescent="0.2">
      <c r="A84" s="64">
        <f>'Calculated Stats'!B12</f>
        <v>5</v>
      </c>
      <c r="B84" s="33" cm="1">
        <f t="array" ref="B84">IFERROR(INDEX('rawdata | iteration analysis'!$2:$2, E84), 0)</f>
        <v>0</v>
      </c>
      <c r="D84" s="48" t="str">
        <f t="shared" si="3"/>
        <v>completedLabels_5_count</v>
      </c>
      <c r="E84" s="48" t="e">
        <f>MATCH(D84, 'rawdata | iteration analysis'!$1:$1, )</f>
        <v>#N/A</v>
      </c>
    </row>
    <row r="85" spans="1:5" x14ac:dyDescent="0.2">
      <c r="A85" s="64">
        <f>'Calculated Stats'!B13</f>
        <v>6</v>
      </c>
      <c r="B85" s="33" cm="1">
        <f t="array" ref="B85">IFERROR(INDEX('rawdata | iteration analysis'!$2:$2, E85), 0)</f>
        <v>0</v>
      </c>
      <c r="D85" s="48" t="str">
        <f t="shared" si="3"/>
        <v>completedLabels_6_count</v>
      </c>
      <c r="E85" s="48" t="e">
        <f>MATCH(D85, 'rawdata | iteration analysis'!$1:$1, )</f>
        <v>#N/A</v>
      </c>
    </row>
    <row r="86" spans="1:5" x14ac:dyDescent="0.2">
      <c r="A86" s="64">
        <f>'Calculated Stats'!B14</f>
        <v>7</v>
      </c>
      <c r="B86" s="33" cm="1">
        <f t="array" ref="B86">IFERROR(INDEX('rawdata | iteration analysis'!$2:$2, E86), 0)</f>
        <v>0</v>
      </c>
      <c r="D86" s="48" t="str">
        <f t="shared" si="3"/>
        <v>completedLabels_7_count</v>
      </c>
      <c r="E86" s="48" t="e">
        <f>MATCH(D86, 'rawdata | iteration analysis'!$1:$1, )</f>
        <v>#N/A</v>
      </c>
    </row>
    <row r="87" spans="1:5" x14ac:dyDescent="0.2">
      <c r="A87" s="64">
        <f>'Calculated Stats'!B15</f>
        <v>8</v>
      </c>
      <c r="B87" s="33" cm="1">
        <f t="array" ref="B87">IFERROR(INDEX('rawdata | iteration analysis'!$2:$2, E87), 0)</f>
        <v>0</v>
      </c>
      <c r="D87" s="48" t="str">
        <f t="shared" si="3"/>
        <v>completedLabels_8_count</v>
      </c>
      <c r="E87" s="48" t="e">
        <f>MATCH(D87, 'rawdata | iteration analysis'!$1:$1, )</f>
        <v>#N/A</v>
      </c>
    </row>
    <row r="88" spans="1:5" x14ac:dyDescent="0.2">
      <c r="A88" s="64">
        <f>'Calculated Stats'!B16</f>
        <v>9</v>
      </c>
      <c r="B88" s="33" cm="1">
        <f t="array" ref="B88">IFERROR(INDEX('rawdata | iteration analysis'!$2:$2, E88), 0)</f>
        <v>0</v>
      </c>
      <c r="D88" s="48" t="str">
        <f t="shared" si="3"/>
        <v>completedLabels_9_count</v>
      </c>
      <c r="E88" s="48" t="e">
        <f>MATCH(D88, 'rawdata | iteration analysis'!$1:$1, )</f>
        <v>#N/A</v>
      </c>
    </row>
    <row r="89" spans="1:5" x14ac:dyDescent="0.2">
      <c r="A89" s="64">
        <f>'Calculated Stats'!B17</f>
        <v>10</v>
      </c>
      <c r="B89" s="33" cm="1">
        <f t="array" ref="B89">IFERROR(INDEX('rawdata | iteration analysis'!$2:$2, E89), 0)</f>
        <v>0</v>
      </c>
      <c r="D89" s="48" t="str">
        <f t="shared" si="3"/>
        <v>completedLabels_10_count</v>
      </c>
      <c r="E89" s="48" t="e">
        <f>MATCH(D89, 'rawdata | iteration analysis'!$1:$1, )</f>
        <v>#N/A</v>
      </c>
    </row>
    <row r="90" spans="1:5" x14ac:dyDescent="0.2">
      <c r="D90"/>
      <c r="E90"/>
    </row>
    <row r="91" spans="1:5" s="2" customFormat="1" x14ac:dyDescent="0.2">
      <c r="A91" s="35" t="s">
        <v>120</v>
      </c>
      <c r="B91" s="66"/>
      <c r="C91" s="49"/>
      <c r="D91" s="72" t="s">
        <v>118</v>
      </c>
      <c r="E91" s="72" t="s">
        <v>119</v>
      </c>
    </row>
    <row r="92" spans="1:5" x14ac:dyDescent="0.2">
      <c r="A92" s="67" t="str">
        <f>'Calculated Stats'!C8</f>
        <v>component1</v>
      </c>
      <c r="B92" s="68" cm="1">
        <f t="array" ref="B92">IFERROR(INDEX('rawdata | iteration analysis'!$2:$2, E92), 0)</f>
        <v>0</v>
      </c>
      <c r="D92" s="48" t="str">
        <f t="shared" ref="D92:D101" si="4">_xlfn.CONCAT("components_", A92,"_",D$66)</f>
        <v>components_component1_count</v>
      </c>
      <c r="E92" s="48" t="e">
        <f>MATCH(D92, 'rawdata | iteration analysis'!$1:$1, )</f>
        <v>#N/A</v>
      </c>
    </row>
    <row r="93" spans="1:5" x14ac:dyDescent="0.2">
      <c r="A93" s="67" t="str">
        <f>'Calculated Stats'!C9</f>
        <v>component2</v>
      </c>
      <c r="B93" s="68" cm="1">
        <f t="array" ref="B93">IFERROR(INDEX('rawdata | iteration analysis'!$2:$2, E93), 0)</f>
        <v>0</v>
      </c>
      <c r="D93" s="48" t="str">
        <f t="shared" si="4"/>
        <v>components_component2_count</v>
      </c>
      <c r="E93" s="48" t="e">
        <f>MATCH(D93, 'rawdata | iteration analysis'!$1:$1, )</f>
        <v>#N/A</v>
      </c>
    </row>
    <row r="94" spans="1:5" x14ac:dyDescent="0.2">
      <c r="A94" s="67" t="str">
        <f>'Calculated Stats'!C10</f>
        <v>component3</v>
      </c>
      <c r="B94" s="68" cm="1">
        <f t="array" ref="B94">IFERROR(INDEX('rawdata | iteration analysis'!$2:$2, E94), 0)</f>
        <v>0</v>
      </c>
      <c r="D94" s="48" t="str">
        <f t="shared" si="4"/>
        <v>components_component3_count</v>
      </c>
      <c r="E94" s="48" t="e">
        <f>MATCH(D94, 'rawdata | iteration analysis'!$1:$1, )</f>
        <v>#N/A</v>
      </c>
    </row>
    <row r="95" spans="1:5" x14ac:dyDescent="0.2">
      <c r="A95" s="67">
        <f>'Calculated Stats'!C11</f>
        <v>0</v>
      </c>
      <c r="B95" s="68" cm="1">
        <f t="array" ref="B95">IFERROR(INDEX('rawdata | iteration analysis'!$2:$2, E95), 0)</f>
        <v>0</v>
      </c>
      <c r="D95" s="48" t="str">
        <f t="shared" si="4"/>
        <v>components_0_count</v>
      </c>
      <c r="E95" s="48" t="e">
        <f>MATCH(D95, 'rawdata | iteration analysis'!$1:$1, )</f>
        <v>#N/A</v>
      </c>
    </row>
    <row r="96" spans="1:5" x14ac:dyDescent="0.2">
      <c r="A96" s="67">
        <f>'Calculated Stats'!C12</f>
        <v>5</v>
      </c>
      <c r="B96" s="68" cm="1">
        <f t="array" ref="B96">IFERROR(INDEX('rawdata | iteration analysis'!$2:$2, E96), 0)</f>
        <v>0</v>
      </c>
      <c r="D96" s="48" t="str">
        <f t="shared" si="4"/>
        <v>components_5_count</v>
      </c>
      <c r="E96" s="48" t="e">
        <f>MATCH(D96, 'rawdata | iteration analysis'!$1:$1, )</f>
        <v>#N/A</v>
      </c>
    </row>
    <row r="97" spans="1:5" x14ac:dyDescent="0.2">
      <c r="A97" s="67">
        <f>'Calculated Stats'!C13</f>
        <v>6</v>
      </c>
      <c r="B97" s="68" cm="1">
        <f t="array" ref="B97">IFERROR(INDEX('rawdata | iteration analysis'!$2:$2, E97), 0)</f>
        <v>0</v>
      </c>
      <c r="D97" s="48" t="str">
        <f t="shared" si="4"/>
        <v>components_6_count</v>
      </c>
      <c r="E97" s="48" t="e">
        <f>MATCH(D97, 'rawdata | iteration analysis'!$1:$1, )</f>
        <v>#N/A</v>
      </c>
    </row>
    <row r="98" spans="1:5" x14ac:dyDescent="0.2">
      <c r="A98" s="67">
        <f>'Calculated Stats'!C14</f>
        <v>7</v>
      </c>
      <c r="B98" s="68" cm="1">
        <f t="array" ref="B98">IFERROR(INDEX('rawdata | iteration analysis'!$2:$2, E98), 0)</f>
        <v>0</v>
      </c>
      <c r="D98" s="48" t="str">
        <f t="shared" si="4"/>
        <v>components_7_count</v>
      </c>
      <c r="E98" s="48" t="e">
        <f>MATCH(D98, 'rawdata | iteration analysis'!$1:$1, )</f>
        <v>#N/A</v>
      </c>
    </row>
    <row r="99" spans="1:5" x14ac:dyDescent="0.2">
      <c r="A99" s="67">
        <f>'Calculated Stats'!C15</f>
        <v>8</v>
      </c>
      <c r="B99" s="68" cm="1">
        <f t="array" ref="B99">IFERROR(INDEX('rawdata | iteration analysis'!$2:$2, E99), 0)</f>
        <v>0</v>
      </c>
      <c r="D99" s="48" t="str">
        <f t="shared" si="4"/>
        <v>components_8_count</v>
      </c>
      <c r="E99" s="48" t="e">
        <f>MATCH(D99, 'rawdata | iteration analysis'!$1:$1, )</f>
        <v>#N/A</v>
      </c>
    </row>
    <row r="100" spans="1:5" x14ac:dyDescent="0.2">
      <c r="A100" s="67">
        <f>'Calculated Stats'!C16</f>
        <v>9</v>
      </c>
      <c r="B100" s="68" cm="1">
        <f t="array" ref="B100">IFERROR(INDEX('rawdata | iteration analysis'!$2:$2, E100), 0)</f>
        <v>0</v>
      </c>
      <c r="D100" s="48" t="str">
        <f t="shared" si="4"/>
        <v>components_9_count</v>
      </c>
      <c r="E100" s="48" t="e">
        <f>MATCH(D100, 'rawdata | iteration analysis'!$1:$1, )</f>
        <v>#N/A</v>
      </c>
    </row>
    <row r="101" spans="1:5" x14ac:dyDescent="0.2">
      <c r="A101" s="67">
        <f>'Calculated Stats'!C17</f>
        <v>10</v>
      </c>
      <c r="B101" s="68" cm="1">
        <f t="array" ref="B101">IFERROR(INDEX('rawdata | iteration analysis'!$2:$2, E101), 0)</f>
        <v>0</v>
      </c>
      <c r="D101" s="48" t="str">
        <f t="shared" si="4"/>
        <v>components_10_count</v>
      </c>
      <c r="E101" s="48" t="e">
        <f>MATCH(D101, 'rawdata | iteration analysis'!$1:$1, )</f>
        <v>#N/A</v>
      </c>
    </row>
    <row r="102" spans="1:5" x14ac:dyDescent="0.2">
      <c r="A102" s="1"/>
      <c r="D102"/>
      <c r="E102"/>
    </row>
    <row r="103" spans="1:5" s="2" customFormat="1" x14ac:dyDescent="0.2">
      <c r="A103" s="35" t="s">
        <v>135</v>
      </c>
      <c r="B103" s="66"/>
      <c r="C103" s="49"/>
      <c r="D103" s="72" t="s">
        <v>118</v>
      </c>
      <c r="E103" s="72" t="s">
        <v>119</v>
      </c>
    </row>
    <row r="104" spans="1:5" x14ac:dyDescent="0.2">
      <c r="A104" s="67" t="str">
        <f>'Calculated Stats'!C8</f>
        <v>component1</v>
      </c>
      <c r="B104" s="68" cm="1">
        <f t="array" ref="B104">IFERROR(INDEX('rawdata | iteration analysis'!$2:$2, E104), 0)</f>
        <v>0</v>
      </c>
      <c r="D104" s="48" t="str">
        <f t="shared" ref="D104:D113" si="5">_xlfn.CONCAT("completedComponents_", A104,"_",D$66)</f>
        <v>completedComponents_component1_count</v>
      </c>
      <c r="E104" s="48" t="e">
        <f>MATCH(D104, 'rawdata | iteration analysis'!$1:$1, )</f>
        <v>#N/A</v>
      </c>
    </row>
    <row r="105" spans="1:5" x14ac:dyDescent="0.2">
      <c r="A105" s="67" t="str">
        <f>'Calculated Stats'!C9</f>
        <v>component2</v>
      </c>
      <c r="B105" s="68" cm="1">
        <f t="array" ref="B105">IFERROR(INDEX('rawdata | iteration analysis'!$2:$2, E105), 0)</f>
        <v>0</v>
      </c>
      <c r="D105" s="48" t="str">
        <f t="shared" si="5"/>
        <v>completedComponents_component2_count</v>
      </c>
      <c r="E105" s="48" t="e">
        <f>MATCH(D105, 'rawdata | iteration analysis'!$1:$1, )</f>
        <v>#N/A</v>
      </c>
    </row>
    <row r="106" spans="1:5" x14ac:dyDescent="0.2">
      <c r="A106" s="67" t="str">
        <f>'Calculated Stats'!C10</f>
        <v>component3</v>
      </c>
      <c r="B106" s="68" cm="1">
        <f t="array" ref="B106">IFERROR(INDEX('rawdata | iteration analysis'!$2:$2, E106), 0)</f>
        <v>0</v>
      </c>
      <c r="D106" s="48" t="str">
        <f t="shared" si="5"/>
        <v>completedComponents_component3_count</v>
      </c>
      <c r="E106" s="48" t="e">
        <f>MATCH(D106, 'rawdata | iteration analysis'!$1:$1, )</f>
        <v>#N/A</v>
      </c>
    </row>
    <row r="107" spans="1:5" x14ac:dyDescent="0.2">
      <c r="A107" s="67">
        <f>'Calculated Stats'!C11</f>
        <v>0</v>
      </c>
      <c r="B107" s="68" cm="1">
        <f t="array" ref="B107">IFERROR(INDEX('rawdata | iteration analysis'!$2:$2, E107), 0)</f>
        <v>0</v>
      </c>
      <c r="D107" s="48" t="str">
        <f t="shared" si="5"/>
        <v>completedComponents_0_count</v>
      </c>
      <c r="E107" s="48" t="e">
        <f>MATCH(D107, 'rawdata | iteration analysis'!$1:$1, )</f>
        <v>#N/A</v>
      </c>
    </row>
    <row r="108" spans="1:5" x14ac:dyDescent="0.2">
      <c r="A108" s="67">
        <f>'Calculated Stats'!C12</f>
        <v>5</v>
      </c>
      <c r="B108" s="68" cm="1">
        <f t="array" ref="B108">IFERROR(INDEX('rawdata | iteration analysis'!$2:$2, E108), 0)</f>
        <v>0</v>
      </c>
      <c r="D108" s="48" t="str">
        <f t="shared" si="5"/>
        <v>completedComponents_5_count</v>
      </c>
      <c r="E108" s="48" t="e">
        <f>MATCH(D108, 'rawdata | iteration analysis'!$1:$1, )</f>
        <v>#N/A</v>
      </c>
    </row>
    <row r="109" spans="1:5" x14ac:dyDescent="0.2">
      <c r="A109" s="67">
        <f>'Calculated Stats'!C13</f>
        <v>6</v>
      </c>
      <c r="B109" s="68" cm="1">
        <f t="array" ref="B109">IFERROR(INDEX('rawdata | iteration analysis'!$2:$2, E109), 0)</f>
        <v>0</v>
      </c>
      <c r="D109" s="48" t="str">
        <f t="shared" si="5"/>
        <v>completedComponents_6_count</v>
      </c>
      <c r="E109" s="48" t="e">
        <f>MATCH(D109, 'rawdata | iteration analysis'!$1:$1, )</f>
        <v>#N/A</v>
      </c>
    </row>
    <row r="110" spans="1:5" x14ac:dyDescent="0.2">
      <c r="A110" s="67">
        <f>'Calculated Stats'!C14</f>
        <v>7</v>
      </c>
      <c r="B110" s="68" cm="1">
        <f t="array" ref="B110">IFERROR(INDEX('rawdata | iteration analysis'!$2:$2, E110), 0)</f>
        <v>0</v>
      </c>
      <c r="D110" s="48" t="str">
        <f t="shared" si="5"/>
        <v>completedComponents_7_count</v>
      </c>
      <c r="E110" s="48" t="e">
        <f>MATCH(D110, 'rawdata | iteration analysis'!$1:$1, )</f>
        <v>#N/A</v>
      </c>
    </row>
    <row r="111" spans="1:5" x14ac:dyDescent="0.2">
      <c r="A111" s="67">
        <f>'Calculated Stats'!C15</f>
        <v>8</v>
      </c>
      <c r="B111" s="68" cm="1">
        <f t="array" ref="B111">IFERROR(INDEX('rawdata | iteration analysis'!$2:$2, E111), 0)</f>
        <v>0</v>
      </c>
      <c r="D111" s="48" t="str">
        <f t="shared" si="5"/>
        <v>completedComponents_8_count</v>
      </c>
      <c r="E111" s="48" t="e">
        <f>MATCH(D111, 'rawdata | iteration analysis'!$1:$1, )</f>
        <v>#N/A</v>
      </c>
    </row>
    <row r="112" spans="1:5" x14ac:dyDescent="0.2">
      <c r="A112" s="67">
        <f>'Calculated Stats'!C16</f>
        <v>9</v>
      </c>
      <c r="B112" s="68" cm="1">
        <f t="array" ref="B112">IFERROR(INDEX('rawdata | iteration analysis'!$2:$2, E112), 0)</f>
        <v>0</v>
      </c>
      <c r="D112" s="48" t="str">
        <f t="shared" si="5"/>
        <v>completedComponents_9_count</v>
      </c>
      <c r="E112" s="48" t="e">
        <f>MATCH(D112, 'rawdata | iteration analysis'!$1:$1, )</f>
        <v>#N/A</v>
      </c>
    </row>
    <row r="113" spans="1:6" x14ac:dyDescent="0.2">
      <c r="A113" s="67">
        <f>'Calculated Stats'!C17</f>
        <v>10</v>
      </c>
      <c r="B113" s="68" cm="1">
        <f t="array" ref="B113">IFERROR(INDEX('rawdata | iteration analysis'!$2:$2, E113), 0)</f>
        <v>0</v>
      </c>
      <c r="D113" s="48" t="str">
        <f t="shared" si="5"/>
        <v>completedComponents_10_count</v>
      </c>
      <c r="E113" s="48" t="e">
        <f>MATCH(D113, 'rawdata | iteration analysis'!$1:$1, )</f>
        <v>#N/A</v>
      </c>
    </row>
    <row r="114" spans="1:6" x14ac:dyDescent="0.2">
      <c r="D114" s="47"/>
      <c r="E114" s="47"/>
    </row>
    <row r="115" spans="1:6" x14ac:dyDescent="0.2">
      <c r="D115" s="47"/>
      <c r="E115" s="47"/>
    </row>
    <row r="116" spans="1:6" ht="26" x14ac:dyDescent="0.2">
      <c r="A116" s="75" t="s">
        <v>15</v>
      </c>
      <c r="B116" s="75"/>
      <c r="C116" s="75"/>
      <c r="D116" s="75"/>
      <c r="E116" s="75"/>
      <c r="F116" s="75"/>
    </row>
    <row r="117" spans="1:6" x14ac:dyDescent="0.2">
      <c r="A117" s="13" t="s">
        <v>123</v>
      </c>
      <c r="B117" s="69"/>
      <c r="D117" s="72" t="s">
        <v>118</v>
      </c>
      <c r="E117" s="72" t="s">
        <v>119</v>
      </c>
    </row>
    <row r="118" spans="1:6" x14ac:dyDescent="0.2">
      <c r="A118" s="6" t="s">
        <v>9</v>
      </c>
      <c r="B118" s="38" cm="1">
        <f t="array" ref="B118">IFERROR(INDEX('rawdata | iteration analysis'!$2:$2, E118), 0)</f>
        <v>0</v>
      </c>
      <c r="D118" s="48" t="s">
        <v>95</v>
      </c>
      <c r="E118" s="48" t="e">
        <f>MATCH(D118, 'rawdata | iteration analysis'!$1:$1, )</f>
        <v>#N/A</v>
      </c>
    </row>
    <row r="119" spans="1:6" x14ac:dyDescent="0.2">
      <c r="A119" s="6" t="s">
        <v>10</v>
      </c>
      <c r="B119" s="38" cm="1">
        <f t="array" ref="B119">IFERROR(INDEX('rawdata | iteration analysis'!$2:$2, E119), 0)</f>
        <v>0</v>
      </c>
      <c r="D119" s="48" t="s">
        <v>93</v>
      </c>
      <c r="E119" s="48" t="e">
        <f>MATCH(D119, 'rawdata | iteration analysis'!$1:$1, )</f>
        <v>#N/A</v>
      </c>
    </row>
    <row r="120" spans="1:6" x14ac:dyDescent="0.2">
      <c r="A120" s="12" t="s">
        <v>11</v>
      </c>
      <c r="B120" s="38" cm="1">
        <f t="array" ref="B120">IFERROR(INDEX('rawdata | iteration analysis'!$2:$2, E120), 0)</f>
        <v>0</v>
      </c>
      <c r="D120" s="48" t="s">
        <v>91</v>
      </c>
      <c r="E120" s="48" t="e">
        <f>MATCH(D120, 'rawdata | iteration analysis'!$1:$1, )</f>
        <v>#N/A</v>
      </c>
    </row>
    <row r="121" spans="1:6" x14ac:dyDescent="0.2">
      <c r="A121" s="6" t="s">
        <v>12</v>
      </c>
      <c r="B121" s="38" cm="1">
        <f t="array" ref="B121">IFERROR(INDEX('rawdata | iteration analysis'!$2:$2, E121), 0)</f>
        <v>0</v>
      </c>
      <c r="D121" s="48" t="s">
        <v>97</v>
      </c>
      <c r="E121" s="48" t="e">
        <f>MATCH(D121, 'rawdata | iteration analysis'!$1:$1, )</f>
        <v>#N/A</v>
      </c>
    </row>
    <row r="122" spans="1:6" x14ac:dyDescent="0.2">
      <c r="A122" s="6" t="s">
        <v>14</v>
      </c>
      <c r="B122" s="38" cm="1">
        <f t="array" ref="B122">IFERROR(INDEX('rawdata | iteration analysis'!$2:$2, E122), 0)</f>
        <v>0</v>
      </c>
      <c r="D122" s="48" t="s">
        <v>99</v>
      </c>
      <c r="E122" s="48" t="e">
        <f>MATCH(D122, 'rawdata | iteration analysis'!$1:$1, )</f>
        <v>#N/A</v>
      </c>
    </row>
    <row r="123" spans="1:6" x14ac:dyDescent="0.2">
      <c r="D123" s="47"/>
      <c r="E123" s="47"/>
      <c r="F123" s="47"/>
    </row>
    <row r="124" spans="1:6" x14ac:dyDescent="0.2">
      <c r="D124" s="47"/>
      <c r="E124" s="47"/>
      <c r="F124" s="47"/>
    </row>
    <row r="125" spans="1:6" x14ac:dyDescent="0.2">
      <c r="D125"/>
      <c r="E125"/>
    </row>
    <row r="126" spans="1:6" x14ac:dyDescent="0.2">
      <c r="A126" s="13" t="s">
        <v>122</v>
      </c>
      <c r="B126" s="69"/>
      <c r="D126" s="72" t="s">
        <v>118</v>
      </c>
      <c r="E126" s="72" t="s">
        <v>119</v>
      </c>
    </row>
    <row r="127" spans="1:6" x14ac:dyDescent="0.2">
      <c r="A127" s="6" t="s">
        <v>9</v>
      </c>
      <c r="B127" s="38" cm="1">
        <f t="array" ref="B127">IFERROR(INDEX('rawdata | iteration analysis'!$2:$2, E127), 0)</f>
        <v>0</v>
      </c>
      <c r="D127" s="48" t="s">
        <v>96</v>
      </c>
      <c r="E127" s="48" t="e">
        <f>MATCH(D127, 'rawdata | iteration analysis'!$1:$1, )</f>
        <v>#N/A</v>
      </c>
    </row>
    <row r="128" spans="1:6" x14ac:dyDescent="0.2">
      <c r="A128" s="6" t="s">
        <v>10</v>
      </c>
      <c r="B128" s="38" cm="1">
        <f t="array" ref="B128">IFERROR(INDEX('rawdata | iteration analysis'!$2:$2, E128), 0)</f>
        <v>0</v>
      </c>
      <c r="D128" s="48" t="s">
        <v>94</v>
      </c>
      <c r="E128" s="48" t="e">
        <f>MATCH(D128, 'rawdata | iteration analysis'!$1:$1, )</f>
        <v>#N/A</v>
      </c>
    </row>
    <row r="129" spans="1:6" x14ac:dyDescent="0.2">
      <c r="A129" s="12" t="s">
        <v>11</v>
      </c>
      <c r="B129" s="38" cm="1">
        <f t="array" ref="B129">IFERROR(INDEX('rawdata | iteration analysis'!$2:$2, E129), 0)</f>
        <v>0</v>
      </c>
      <c r="D129" s="48" t="s">
        <v>92</v>
      </c>
      <c r="E129" s="48" t="e">
        <f>MATCH(D129, 'rawdata | iteration analysis'!$1:$1, )</f>
        <v>#N/A</v>
      </c>
    </row>
    <row r="130" spans="1:6" x14ac:dyDescent="0.2">
      <c r="A130" s="6" t="s">
        <v>12</v>
      </c>
      <c r="B130" s="38" cm="1">
        <f t="array" ref="B130">IFERROR(INDEX('rawdata | iteration analysis'!$2:$2, E130), 0)</f>
        <v>0</v>
      </c>
      <c r="D130" s="48" t="s">
        <v>98</v>
      </c>
      <c r="E130" s="48" t="e">
        <f>MATCH(D130, 'rawdata | iteration analysis'!$1:$1, )</f>
        <v>#N/A</v>
      </c>
    </row>
    <row r="131" spans="1:6" x14ac:dyDescent="0.2">
      <c r="A131" s="6" t="s">
        <v>14</v>
      </c>
      <c r="B131" s="38" cm="1">
        <f t="array" ref="B131">IFERROR(INDEX('rawdata | iteration analysis'!$2:$2, E131), 0)</f>
        <v>0</v>
      </c>
      <c r="D131" s="48" t="s">
        <v>100</v>
      </c>
      <c r="E131" s="48" t="e">
        <f>MATCH(D131, 'rawdata | iteration analysis'!$1:$1, )</f>
        <v>#N/A</v>
      </c>
    </row>
    <row r="132" spans="1:6" x14ac:dyDescent="0.2">
      <c r="D132" s="47"/>
      <c r="E132" s="47"/>
      <c r="F132" s="47"/>
    </row>
    <row r="133" spans="1:6" x14ac:dyDescent="0.2">
      <c r="D133" s="47"/>
      <c r="E133" s="47"/>
      <c r="F133" s="47"/>
    </row>
    <row r="134" spans="1:6" x14ac:dyDescent="0.2">
      <c r="D134"/>
      <c r="E134"/>
    </row>
    <row r="135" spans="1:6" x14ac:dyDescent="0.2">
      <c r="A135" s="9" t="s">
        <v>127</v>
      </c>
      <c r="B135" s="70"/>
      <c r="D135" s="72" t="s">
        <v>118</v>
      </c>
      <c r="E135" s="72" t="s">
        <v>119</v>
      </c>
    </row>
    <row r="136" spans="1:6" x14ac:dyDescent="0.2">
      <c r="A136" s="4" t="s">
        <v>125</v>
      </c>
      <c r="B136" s="33" cm="1">
        <f t="array" ref="B136">IFERROR(INDEX('rawdata | iteration analysis'!$2:$2, E136), 0)</f>
        <v>0</v>
      </c>
      <c r="C136"/>
      <c r="D136" s="48" t="s">
        <v>102</v>
      </c>
      <c r="E136" s="48" t="e">
        <f>MATCH(D136, 'rawdata | iteration analysis'!$1:$1, )</f>
        <v>#N/A</v>
      </c>
    </row>
    <row r="137" spans="1:6" x14ac:dyDescent="0.2">
      <c r="A137" s="4" t="s">
        <v>3</v>
      </c>
      <c r="B137" s="33" cm="1">
        <f t="array" ref="B137">IFERROR(INDEX('rawdata | iteration analysis'!$2:$2, E137), 0)</f>
        <v>0</v>
      </c>
      <c r="C137"/>
      <c r="D137" s="48" t="s">
        <v>104</v>
      </c>
      <c r="E137" s="48" t="e">
        <f>MATCH(D137, 'rawdata | iteration analysis'!$1:$1, )</f>
        <v>#N/A</v>
      </c>
    </row>
    <row r="138" spans="1:6" x14ac:dyDescent="0.2">
      <c r="A138" s="4" t="s">
        <v>0</v>
      </c>
      <c r="B138" s="33" cm="1">
        <f t="array" ref="B138">IFERROR(INDEX('rawdata | iteration analysis'!$2:$2, E138), 0)</f>
        <v>0</v>
      </c>
      <c r="C138"/>
      <c r="D138" s="48" t="s">
        <v>106</v>
      </c>
      <c r="E138" s="48" t="e">
        <f>MATCH(D138, 'rawdata | iteration analysis'!$1:$1, )</f>
        <v>#N/A</v>
      </c>
    </row>
    <row r="139" spans="1:6" x14ac:dyDescent="0.2">
      <c r="D139" s="47"/>
      <c r="E139" s="47"/>
      <c r="F139" s="47"/>
    </row>
    <row r="140" spans="1:6" x14ac:dyDescent="0.2">
      <c r="D140" s="47"/>
      <c r="E140" s="47"/>
      <c r="F140" s="47"/>
    </row>
    <row r="141" spans="1:6" x14ac:dyDescent="0.2">
      <c r="D141"/>
      <c r="E141"/>
    </row>
    <row r="142" spans="1:6" x14ac:dyDescent="0.2">
      <c r="A142" s="9" t="s">
        <v>128</v>
      </c>
      <c r="B142" s="70"/>
      <c r="D142" s="72" t="s">
        <v>118</v>
      </c>
      <c r="E142" s="72" t="s">
        <v>119</v>
      </c>
    </row>
    <row r="143" spans="1:6" x14ac:dyDescent="0.2">
      <c r="A143" s="4" t="s">
        <v>125</v>
      </c>
      <c r="B143" s="33" cm="1">
        <f t="array" ref="B143">IFERROR(INDEX('rawdata | iteration analysis'!$2:$2, E143), 0)</f>
        <v>0</v>
      </c>
      <c r="D143" s="48" t="s">
        <v>101</v>
      </c>
      <c r="E143" s="48" t="e">
        <f>MATCH(D143, 'rawdata | iteration analysis'!$1:$1, )</f>
        <v>#N/A</v>
      </c>
    </row>
    <row r="144" spans="1:6" x14ac:dyDescent="0.2">
      <c r="A144" s="4" t="s">
        <v>3</v>
      </c>
      <c r="B144" s="33" cm="1">
        <f t="array" ref="B144">IFERROR(INDEX('rawdata | iteration analysis'!$2:$2, E144), 0)</f>
        <v>0</v>
      </c>
      <c r="D144" s="48" t="s">
        <v>103</v>
      </c>
      <c r="E144" s="48" t="e">
        <f>MATCH(D144, 'rawdata | iteration analysis'!$1:$1, )</f>
        <v>#N/A</v>
      </c>
    </row>
    <row r="145" spans="1:6" x14ac:dyDescent="0.2">
      <c r="A145" s="4" t="s">
        <v>0</v>
      </c>
      <c r="B145" s="33" cm="1">
        <f t="array" ref="B145">IFERROR(INDEX('rawdata | iteration analysis'!$2:$2, E145), 0)</f>
        <v>0</v>
      </c>
      <c r="D145" s="48" t="s">
        <v>105</v>
      </c>
      <c r="E145" s="48" t="e">
        <f>MATCH(D145, 'rawdata | iteration analysis'!$1:$1, )</f>
        <v>#N/A</v>
      </c>
    </row>
    <row r="146" spans="1:6" x14ac:dyDescent="0.2">
      <c r="B146"/>
      <c r="C146"/>
      <c r="D146"/>
      <c r="E146"/>
    </row>
    <row r="147" spans="1:6" x14ac:dyDescent="0.2">
      <c r="B147"/>
      <c r="C147"/>
      <c r="D147"/>
      <c r="E147"/>
    </row>
    <row r="148" spans="1:6" x14ac:dyDescent="0.2">
      <c r="B148"/>
      <c r="C148"/>
      <c r="D148"/>
      <c r="E148"/>
    </row>
    <row r="149" spans="1:6" ht="26" x14ac:dyDescent="0.2">
      <c r="A149" s="75" t="s">
        <v>146</v>
      </c>
      <c r="B149" s="75"/>
      <c r="C149" s="75"/>
      <c r="D149" s="75"/>
      <c r="E149" s="75"/>
      <c r="F149" s="75"/>
    </row>
    <row r="150" spans="1:6" x14ac:dyDescent="0.2">
      <c r="A150" s="79" t="s">
        <v>142</v>
      </c>
      <c r="B150" s="79"/>
      <c r="C150"/>
      <c r="D150" s="72" t="s">
        <v>118</v>
      </c>
      <c r="E150" s="72" t="s">
        <v>119</v>
      </c>
    </row>
    <row r="151" spans="1:6" x14ac:dyDescent="0.2">
      <c r="A151" s="7" t="s">
        <v>142</v>
      </c>
      <c r="B151" s="80" cm="1">
        <f t="array" ref="B151">IFERROR(INDEX('rawdata | iteration analysis'!$2:$2, E151), 0)</f>
        <v>0</v>
      </c>
      <c r="D151" s="48" t="s">
        <v>109</v>
      </c>
      <c r="E151" s="48" t="e">
        <f>MATCH(D151, 'rawdata | iteration analysis'!$1:$1, )</f>
        <v>#N/A</v>
      </c>
    </row>
    <row r="152" spans="1:6" x14ac:dyDescent="0.2">
      <c r="D152" s="47"/>
      <c r="E152" s="47"/>
    </row>
    <row r="153" spans="1:6" x14ac:dyDescent="0.2">
      <c r="D153"/>
      <c r="E153"/>
    </row>
    <row r="154" spans="1:6" x14ac:dyDescent="0.2">
      <c r="A154" s="10" t="s">
        <v>126</v>
      </c>
      <c r="B154" s="10"/>
      <c r="D154" s="72" t="s">
        <v>118</v>
      </c>
      <c r="E154" s="72" t="s">
        <v>119</v>
      </c>
    </row>
    <row r="155" spans="1:6" x14ac:dyDescent="0.2">
      <c r="A155" s="18" t="s">
        <v>20</v>
      </c>
      <c r="B155" s="71" cm="1">
        <f t="array" ref="B155">IFERROR(INDEX('rawdata | iteration analysis'!$2:$2, E155), 0)</f>
        <v>0</v>
      </c>
      <c r="D155" s="48" t="s">
        <v>107</v>
      </c>
      <c r="E155" s="48" t="e">
        <f>MATCH(D155, 'rawdata | iteration analysis'!$1:$1, )</f>
        <v>#N/A</v>
      </c>
    </row>
    <row r="156" spans="1:6" x14ac:dyDescent="0.2">
      <c r="A156" s="18" t="s">
        <v>21</v>
      </c>
      <c r="B156" s="71" cm="1">
        <f t="array" ref="B156">IFERROR(INDEX('rawdata | iteration analysis'!$2:$2, E156), 0)</f>
        <v>0</v>
      </c>
      <c r="D156" s="48" t="s">
        <v>108</v>
      </c>
      <c r="E156" s="48" t="e">
        <f>MATCH(D156, 'rawdata | iteration analysis'!$1:$1, )</f>
        <v>#N/A</v>
      </c>
      <c r="F156" s="47"/>
    </row>
    <row r="157" spans="1:6" x14ac:dyDescent="0.2">
      <c r="A157" s="18" t="s">
        <v>147</v>
      </c>
      <c r="B157" s="71" cm="1">
        <f t="array" ref="B157">IFERROR(INDEX('rawdata | iteration analysis'!$2:$2, E157), 0)</f>
        <v>0</v>
      </c>
      <c r="D157" s="48" t="s">
        <v>148</v>
      </c>
      <c r="E157" s="48" t="e">
        <f>MATCH(D157, 'rawdata | iteration analysis'!$1:$1, )</f>
        <v>#N/A</v>
      </c>
      <c r="F157" s="47"/>
    </row>
    <row r="158" spans="1:6" x14ac:dyDescent="0.2">
      <c r="D158" s="47"/>
      <c r="E158" s="47"/>
      <c r="F158" s="47"/>
    </row>
    <row r="159" spans="1:6" x14ac:dyDescent="0.2">
      <c r="D159" s="47"/>
      <c r="E159" s="47"/>
      <c r="F159" s="47"/>
    </row>
    <row r="160" spans="1:6" x14ac:dyDescent="0.2">
      <c r="D160"/>
      <c r="E160"/>
    </row>
    <row r="161" spans="1:6" x14ac:dyDescent="0.2">
      <c r="A161" s="13" t="s">
        <v>62</v>
      </c>
      <c r="B161" s="69"/>
      <c r="D161" s="72" t="s">
        <v>118</v>
      </c>
      <c r="E161" s="72" t="s">
        <v>119</v>
      </c>
    </row>
    <row r="162" spans="1:6" x14ac:dyDescent="0.2">
      <c r="A162" s="6" t="s">
        <v>68</v>
      </c>
      <c r="B162" s="38" cm="1">
        <f t="array" ref="B162">IFERROR(INDEX('rawdata | iteration analysis'!$2:$2, E162), 0)</f>
        <v>0</v>
      </c>
      <c r="D162" s="48" t="s">
        <v>110</v>
      </c>
      <c r="E162" s="48" t="e">
        <f>MATCH(D162, 'rawdata | iteration analysis'!$1:$1, )</f>
        <v>#N/A</v>
      </c>
    </row>
    <row r="163" spans="1:6" x14ac:dyDescent="0.2">
      <c r="A163" s="6" t="s">
        <v>65</v>
      </c>
      <c r="B163" s="38">
        <f>B120</f>
        <v>0</v>
      </c>
      <c r="D163" s="48" t="s">
        <v>91</v>
      </c>
      <c r="E163" s="48" t="e">
        <f>MATCH(D163, 'rawdata | iteration analysis'!$1:$1, )</f>
        <v>#N/A</v>
      </c>
    </row>
    <row r="164" spans="1:6" x14ac:dyDescent="0.2">
      <c r="A164" s="6" t="s">
        <v>66</v>
      </c>
      <c r="B164" s="38" cm="1">
        <f t="array" ref="B164">IFERROR(INDEX('rawdata | iteration analysis'!$2:$2, E164), 0)</f>
        <v>0</v>
      </c>
      <c r="D164" s="48" t="s">
        <v>93</v>
      </c>
      <c r="E164" s="48" t="e">
        <f>MATCH(D164, 'rawdata | iteration analysis'!$1:$1, )</f>
        <v>#N/A</v>
      </c>
    </row>
    <row r="165" spans="1:6" x14ac:dyDescent="0.2">
      <c r="A165" s="6" t="s">
        <v>67</v>
      </c>
      <c r="B165" s="38" cm="1">
        <f t="array" ref="B165">IFERROR(INDEX('rawdata | iteration analysis'!$2:$2, E165), 0)</f>
        <v>0</v>
      </c>
      <c r="D165" s="48" t="s">
        <v>111</v>
      </c>
      <c r="E165" s="48" t="e">
        <f>MATCH(D165, 'rawdata | iteration analysis'!$1:$1, )</f>
        <v>#N/A</v>
      </c>
    </row>
    <row r="166" spans="1:6" x14ac:dyDescent="0.2">
      <c r="A166" s="6"/>
      <c r="B166" s="38"/>
    </row>
    <row r="167" spans="1:6" x14ac:dyDescent="0.2">
      <c r="A167" s="6" t="s">
        <v>63</v>
      </c>
      <c r="B167" s="38" cm="1">
        <f t="array" ref="B167">IFERROR(INDEX('rawdata | iteration analysis'!$2:$2, E167), 0)</f>
        <v>0</v>
      </c>
      <c r="D167" s="48" t="s">
        <v>112</v>
      </c>
      <c r="E167" s="48" t="e">
        <f>MATCH(D167, 'rawdata | iteration analysis'!$1:$1, )</f>
        <v>#N/A</v>
      </c>
    </row>
    <row r="168" spans="1:6" x14ac:dyDescent="0.2">
      <c r="A168" s="6" t="s">
        <v>64</v>
      </c>
      <c r="B168" s="38" cm="1">
        <f t="array" ref="B168">IFERROR(INDEX('rawdata | iteration analysis'!$2:$2, E168), 0)</f>
        <v>0</v>
      </c>
      <c r="D168" s="48" t="s">
        <v>113</v>
      </c>
      <c r="E168" s="48" t="e">
        <f>MATCH(D168, 'rawdata | iteration analysis'!$1:$1, )</f>
        <v>#N/A</v>
      </c>
    </row>
    <row r="169" spans="1:6" x14ac:dyDescent="0.2">
      <c r="D169" s="73"/>
      <c r="E169" s="73"/>
    </row>
    <row r="170" spans="1:6" x14ac:dyDescent="0.2">
      <c r="D170" s="73"/>
      <c r="E170" s="73"/>
    </row>
    <row r="171" spans="1:6" x14ac:dyDescent="0.2">
      <c r="D171" s="73"/>
      <c r="E171" s="73"/>
    </row>
    <row r="172" spans="1:6" ht="26" x14ac:dyDescent="0.2">
      <c r="A172" s="75" t="s">
        <v>152</v>
      </c>
      <c r="B172" s="75"/>
      <c r="C172" s="75"/>
      <c r="D172" s="75"/>
      <c r="E172" s="75"/>
      <c r="F172" s="75"/>
    </row>
    <row r="173" spans="1:6" x14ac:dyDescent="0.2">
      <c r="A173" s="92" t="s">
        <v>153</v>
      </c>
      <c r="B173" s="93" t="s">
        <v>154</v>
      </c>
      <c r="C173" s="93"/>
      <c r="D173" s="92" t="s">
        <v>5</v>
      </c>
      <c r="E173" s="92" t="s">
        <v>155</v>
      </c>
      <c r="F173" s="92"/>
    </row>
    <row r="174" spans="1:6" x14ac:dyDescent="0.2">
      <c r="A174" s="81" t="e" cm="1" vm="2">
        <f t="array" ref="A174">TRANSPOSE(_xlfn._xlws.FILTER('rawdata | iteration analysis'!1:1, ISNUMBER(SEARCH("parent*storyPoints", 'rawdata | iteration analysis'!1:1))))</f>
        <v>#VALUE!</v>
      </c>
      <c r="B174" s="68" t="e" vm="1">
        <f>IF(ISBLANK(A174), NA(), MID(A174, LEN("parents-") + 1, LEN(A174) - LEN("parents-") - LEN("-storyPoints")))</f>
        <v>#VALUE!</v>
      </c>
      <c r="C174" s="68"/>
      <c r="D174" s="94" t="e" vm="1">
        <f>IF(ISBLANK(A174), NA(), INDEX('rawdata | iteration analysis'!$2:$2, 1, MATCH(_xlfn.CONCAT("*",B174,"_storyPoints"), 'rawdata | iteration analysis'!$1:$1, 0)))</f>
        <v>#VALUE!</v>
      </c>
      <c r="E174" s="94" t="e" vm="1">
        <f>IF(ISBLANK(A174), NA(), INDEX('rawdata | iteration analysis'!$2:$2, 1, MATCH(_xlfn.CONCAT("*",B174,"_count"), 'rawdata | iteration analysis'!$1:$1, 0)))</f>
        <v>#VALUE!</v>
      </c>
      <c r="F174" s="81"/>
    </row>
    <row r="175" spans="1:6" x14ac:dyDescent="0.2">
      <c r="A175" s="81"/>
      <c r="B175" s="68" t="e">
        <f t="shared" ref="B175:B213" si="6">IF(ISBLANK(A175), NA(), MID(A175, LEN("parents-") + 1, LEN(A175) - LEN("parents-") - LEN("-storyPoints")))</f>
        <v>#N/A</v>
      </c>
      <c r="C175" s="68"/>
      <c r="D175" s="94" t="e">
        <f>IF(ISBLANK(A175), NA(), INDEX('rawdata | iteration analysis'!$2:$2, 1, MATCH(_xlfn.CONCAT("*",B175,"_storyPoints"), 'rawdata | iteration analysis'!$1:$1, 0)))</f>
        <v>#N/A</v>
      </c>
      <c r="E175" s="94" t="e">
        <f>IF(ISBLANK(A175), NA(), INDEX('rawdata | iteration analysis'!$2:$2, 1, MATCH(_xlfn.CONCAT("*",B175,"_count"), 'rawdata | iteration analysis'!$1:$1, 0)))</f>
        <v>#N/A</v>
      </c>
      <c r="F175" s="81"/>
    </row>
    <row r="176" spans="1:6" x14ac:dyDescent="0.2">
      <c r="A176" s="81"/>
      <c r="B176" s="68" t="e">
        <f t="shared" si="6"/>
        <v>#N/A</v>
      </c>
      <c r="C176" s="68"/>
      <c r="D176" s="94" t="e">
        <f>IF(ISBLANK(A176), NA(), INDEX('rawdata | iteration analysis'!$2:$2, 1, MATCH(_xlfn.CONCAT("*",B176,"_storyPoints"), 'rawdata | iteration analysis'!$1:$1, 0)))</f>
        <v>#N/A</v>
      </c>
      <c r="E176" s="94" t="e">
        <f>IF(ISBLANK(A176), NA(), INDEX('rawdata | iteration analysis'!$2:$2, 1, MATCH(_xlfn.CONCAT("*",B176,"_count"), 'rawdata | iteration analysis'!$1:$1, 0)))</f>
        <v>#N/A</v>
      </c>
      <c r="F176" s="81"/>
    </row>
    <row r="177" spans="1:6" x14ac:dyDescent="0.2">
      <c r="A177" s="81"/>
      <c r="B177" s="68" t="e">
        <f t="shared" si="6"/>
        <v>#N/A</v>
      </c>
      <c r="C177" s="68"/>
      <c r="D177" s="94" t="e">
        <f>IF(ISBLANK(A177), NA(), INDEX('rawdata | iteration analysis'!$2:$2, 1, MATCH(_xlfn.CONCAT("*",B177,"_storyPoints"), 'rawdata | iteration analysis'!$1:$1, 0)))</f>
        <v>#N/A</v>
      </c>
      <c r="E177" s="94" t="e">
        <f>IF(ISBLANK(A177), NA(), INDEX('rawdata | iteration analysis'!$2:$2, 1, MATCH(_xlfn.CONCAT("*",B177,"_count"), 'rawdata | iteration analysis'!$1:$1, 0)))</f>
        <v>#N/A</v>
      </c>
      <c r="F177" s="81"/>
    </row>
    <row r="178" spans="1:6" x14ac:dyDescent="0.2">
      <c r="A178" s="81"/>
      <c r="B178" s="68" t="e">
        <f t="shared" si="6"/>
        <v>#N/A</v>
      </c>
      <c r="C178" s="68"/>
      <c r="D178" s="94" t="e">
        <f>IF(ISBLANK(A178), NA(), INDEX('rawdata | iteration analysis'!$2:$2, 1, MATCH(_xlfn.CONCAT("*",B178,"_storyPoints"), 'rawdata | iteration analysis'!$1:$1, 0)))</f>
        <v>#N/A</v>
      </c>
      <c r="E178" s="94" t="e">
        <f>IF(ISBLANK(A178), NA(), INDEX('rawdata | iteration analysis'!$2:$2, 1, MATCH(_xlfn.CONCAT("*",B178,"_count"), 'rawdata | iteration analysis'!$1:$1, 0)))</f>
        <v>#N/A</v>
      </c>
      <c r="F178" s="81"/>
    </row>
    <row r="179" spans="1:6" x14ac:dyDescent="0.2">
      <c r="A179" s="81"/>
      <c r="B179" s="68" t="e">
        <f t="shared" si="6"/>
        <v>#N/A</v>
      </c>
      <c r="C179" s="68"/>
      <c r="D179" s="94" t="e">
        <f>IF(ISBLANK(A179), NA(), INDEX('rawdata | iteration analysis'!$2:$2, 1, MATCH(_xlfn.CONCAT("*",B179,"_storyPoints"), 'rawdata | iteration analysis'!$1:$1, 0)))</f>
        <v>#N/A</v>
      </c>
      <c r="E179" s="94" t="e">
        <f>IF(ISBLANK(A179), NA(), INDEX('rawdata | iteration analysis'!$2:$2, 1, MATCH(_xlfn.CONCAT("*",B179,"_count"), 'rawdata | iteration analysis'!$1:$1, 0)))</f>
        <v>#N/A</v>
      </c>
      <c r="F179" s="81"/>
    </row>
    <row r="180" spans="1:6" x14ac:dyDescent="0.2">
      <c r="A180" s="81"/>
      <c r="B180" s="68" t="e">
        <f t="shared" si="6"/>
        <v>#N/A</v>
      </c>
      <c r="C180" s="68"/>
      <c r="D180" s="94" t="e">
        <f>IF(ISBLANK(A180), NA(), INDEX('rawdata | iteration analysis'!$2:$2, 1, MATCH(_xlfn.CONCAT("*",B180,"_storyPoints"), 'rawdata | iteration analysis'!$1:$1, 0)))</f>
        <v>#N/A</v>
      </c>
      <c r="E180" s="94" t="e">
        <f>IF(ISBLANK(A180), NA(), INDEX('rawdata | iteration analysis'!$2:$2, 1, MATCH(_xlfn.CONCAT("*",B180,"_count"), 'rawdata | iteration analysis'!$1:$1, 0)))</f>
        <v>#N/A</v>
      </c>
      <c r="F180" s="81"/>
    </row>
    <row r="181" spans="1:6" x14ac:dyDescent="0.2">
      <c r="A181" s="81"/>
      <c r="B181" s="68" t="e">
        <f t="shared" si="6"/>
        <v>#N/A</v>
      </c>
      <c r="C181" s="68"/>
      <c r="D181" s="94" t="e">
        <f>IF(ISBLANK(A181), NA(), INDEX('rawdata | iteration analysis'!$2:$2, 1, MATCH(_xlfn.CONCAT("*",B181,"_storyPoints"), 'rawdata | iteration analysis'!$1:$1, 0)))</f>
        <v>#N/A</v>
      </c>
      <c r="E181" s="94" t="e">
        <f>IF(ISBLANK(A181), NA(), INDEX('rawdata | iteration analysis'!$2:$2, 1, MATCH(_xlfn.CONCAT("*",B181,"_count"), 'rawdata | iteration analysis'!$1:$1, 0)))</f>
        <v>#N/A</v>
      </c>
      <c r="F181" s="81"/>
    </row>
    <row r="182" spans="1:6" x14ac:dyDescent="0.2">
      <c r="A182" s="81"/>
      <c r="B182" s="68" t="e">
        <f t="shared" si="6"/>
        <v>#N/A</v>
      </c>
      <c r="C182" s="68"/>
      <c r="D182" s="94" t="e">
        <f>IF(ISBLANK(A182), NA(), INDEX('rawdata | iteration analysis'!$2:$2, 1, MATCH(_xlfn.CONCAT("*",B182,"_storyPoints"), 'rawdata | iteration analysis'!$1:$1, 0)))</f>
        <v>#N/A</v>
      </c>
      <c r="E182" s="94" t="e">
        <f>IF(ISBLANK(A182), NA(), INDEX('rawdata | iteration analysis'!$2:$2, 1, MATCH(_xlfn.CONCAT("*",B182,"_count"), 'rawdata | iteration analysis'!$1:$1, 0)))</f>
        <v>#N/A</v>
      </c>
      <c r="F182" s="81"/>
    </row>
    <row r="183" spans="1:6" x14ac:dyDescent="0.2">
      <c r="A183" s="81"/>
      <c r="B183" s="68" t="e">
        <f t="shared" si="6"/>
        <v>#N/A</v>
      </c>
      <c r="C183" s="68"/>
      <c r="D183" s="94" t="e">
        <f>IF(ISBLANK(A183), NA(), INDEX('rawdata | iteration analysis'!$2:$2, 1, MATCH(_xlfn.CONCAT("*",B183,"_storyPoints"), 'rawdata | iteration analysis'!$1:$1, 0)))</f>
        <v>#N/A</v>
      </c>
      <c r="E183" s="94" t="e">
        <f>IF(ISBLANK(A183), NA(), INDEX('rawdata | iteration analysis'!$2:$2, 1, MATCH(_xlfn.CONCAT("*",B183,"_count"), 'rawdata | iteration analysis'!$1:$1, 0)))</f>
        <v>#N/A</v>
      </c>
      <c r="F183" s="81"/>
    </row>
    <row r="184" spans="1:6" x14ac:dyDescent="0.2">
      <c r="A184" s="81"/>
      <c r="B184" s="68" t="e">
        <f t="shared" si="6"/>
        <v>#N/A</v>
      </c>
      <c r="C184" s="68"/>
      <c r="D184" s="94" t="e">
        <f>IF(ISBLANK(A184), NA(), INDEX('rawdata | iteration analysis'!$2:$2, 1, MATCH(_xlfn.CONCAT("*",B184,"_storyPoints"), 'rawdata | iteration analysis'!$1:$1, 0)))</f>
        <v>#N/A</v>
      </c>
      <c r="E184" s="94" t="e">
        <f>IF(ISBLANK(A184), NA(), INDEX('rawdata | iteration analysis'!$2:$2, 1, MATCH(_xlfn.CONCAT("*",B184,"_count"), 'rawdata | iteration analysis'!$1:$1, 0)))</f>
        <v>#N/A</v>
      </c>
      <c r="F184" s="81"/>
    </row>
    <row r="185" spans="1:6" x14ac:dyDescent="0.2">
      <c r="A185" s="81"/>
      <c r="B185" s="68" t="e">
        <f t="shared" si="6"/>
        <v>#N/A</v>
      </c>
      <c r="C185" s="68"/>
      <c r="D185" s="94" t="e">
        <f>IF(ISBLANK(A185), NA(), INDEX('rawdata | iteration analysis'!$2:$2, 1, MATCH(_xlfn.CONCAT("*",B185,"_storyPoints"), 'rawdata | iteration analysis'!$1:$1, 0)))</f>
        <v>#N/A</v>
      </c>
      <c r="E185" s="94" t="e">
        <f>IF(ISBLANK(A185), NA(), INDEX('rawdata | iteration analysis'!$2:$2, 1, MATCH(_xlfn.CONCAT("*",B185,"_count"), 'rawdata | iteration analysis'!$1:$1, 0)))</f>
        <v>#N/A</v>
      </c>
      <c r="F185" s="81"/>
    </row>
    <row r="186" spans="1:6" x14ac:dyDescent="0.2">
      <c r="A186" s="81"/>
      <c r="B186" s="68" t="e">
        <f t="shared" si="6"/>
        <v>#N/A</v>
      </c>
      <c r="C186" s="68"/>
      <c r="D186" s="94" t="e">
        <f>IF(ISBLANK(A186), NA(), INDEX('rawdata | iteration analysis'!$2:$2, 1, MATCH(_xlfn.CONCAT("*",B186,"_storyPoints"), 'rawdata | iteration analysis'!$1:$1, 0)))</f>
        <v>#N/A</v>
      </c>
      <c r="E186" s="94" t="e">
        <f>IF(ISBLANK(A186), NA(), INDEX('rawdata | iteration analysis'!$2:$2, 1, MATCH(_xlfn.CONCAT("*",B186,"_count"), 'rawdata | iteration analysis'!$1:$1, 0)))</f>
        <v>#N/A</v>
      </c>
      <c r="F186" s="81"/>
    </row>
    <row r="187" spans="1:6" x14ac:dyDescent="0.2">
      <c r="A187" s="81"/>
      <c r="B187" s="68" t="e">
        <f t="shared" si="6"/>
        <v>#N/A</v>
      </c>
      <c r="C187" s="68"/>
      <c r="D187" s="94" t="e">
        <f>IF(ISBLANK(A187), NA(), INDEX('rawdata | iteration analysis'!$2:$2, 1, MATCH(_xlfn.CONCAT("*",B187,"_storyPoints"), 'rawdata | iteration analysis'!$1:$1, 0)))</f>
        <v>#N/A</v>
      </c>
      <c r="E187" s="94" t="e">
        <f>IF(ISBLANK(A187), NA(), INDEX('rawdata | iteration analysis'!$2:$2, 1, MATCH(_xlfn.CONCAT("*",B187,"_count"), 'rawdata | iteration analysis'!$1:$1, 0)))</f>
        <v>#N/A</v>
      </c>
      <c r="F187" s="81"/>
    </row>
    <row r="188" spans="1:6" x14ac:dyDescent="0.2">
      <c r="A188" s="81"/>
      <c r="B188" s="68" t="e">
        <f t="shared" si="6"/>
        <v>#N/A</v>
      </c>
      <c r="C188" s="68"/>
      <c r="D188" s="94" t="e">
        <f>IF(ISBLANK(A188), NA(), INDEX('rawdata | iteration analysis'!$2:$2, 1, MATCH(_xlfn.CONCAT("*",B188,"_storyPoints"), 'rawdata | iteration analysis'!$1:$1, 0)))</f>
        <v>#N/A</v>
      </c>
      <c r="E188" s="94" t="e">
        <f>IF(ISBLANK(A188), NA(), INDEX('rawdata | iteration analysis'!$2:$2, 1, MATCH(_xlfn.CONCAT("*",B188,"_count"), 'rawdata | iteration analysis'!$1:$1, 0)))</f>
        <v>#N/A</v>
      </c>
      <c r="F188" s="81"/>
    </row>
    <row r="189" spans="1:6" x14ac:dyDescent="0.2">
      <c r="A189" s="81"/>
      <c r="B189" s="68" t="e">
        <f t="shared" si="6"/>
        <v>#N/A</v>
      </c>
      <c r="C189" s="68"/>
      <c r="D189" s="94" t="e">
        <f>IF(ISBLANK(A189), NA(), INDEX('rawdata | iteration analysis'!$2:$2, 1, MATCH(_xlfn.CONCAT("*",B189,"_storyPoints"), 'rawdata | iteration analysis'!$1:$1, 0)))</f>
        <v>#N/A</v>
      </c>
      <c r="E189" s="94" t="e">
        <f>IF(ISBLANK(A189), NA(), INDEX('rawdata | iteration analysis'!$2:$2, 1, MATCH(_xlfn.CONCAT("*",B189,"_count"), 'rawdata | iteration analysis'!$1:$1, 0)))</f>
        <v>#N/A</v>
      </c>
      <c r="F189" s="81"/>
    </row>
    <row r="190" spans="1:6" x14ac:dyDescent="0.2">
      <c r="A190" s="81"/>
      <c r="B190" s="68" t="e">
        <f t="shared" si="6"/>
        <v>#N/A</v>
      </c>
      <c r="C190" s="68"/>
      <c r="D190" s="94" t="e">
        <f>IF(ISBLANK(A190), NA(), INDEX('rawdata | iteration analysis'!$2:$2, 1, MATCH(_xlfn.CONCAT("*",B190,"_storyPoints"), 'rawdata | iteration analysis'!$1:$1, 0)))</f>
        <v>#N/A</v>
      </c>
      <c r="E190" s="94" t="e">
        <f>IF(ISBLANK(A190), NA(), INDEX('rawdata | iteration analysis'!$2:$2, 1, MATCH(_xlfn.CONCAT("*",B190,"_count"), 'rawdata | iteration analysis'!$1:$1, 0)))</f>
        <v>#N/A</v>
      </c>
      <c r="F190" s="81"/>
    </row>
    <row r="191" spans="1:6" x14ac:dyDescent="0.2">
      <c r="A191" s="81"/>
      <c r="B191" s="68" t="e">
        <f t="shared" si="6"/>
        <v>#N/A</v>
      </c>
      <c r="C191" s="68"/>
      <c r="D191" s="94" t="e">
        <f>IF(ISBLANK(A191), NA(), INDEX('rawdata | iteration analysis'!$2:$2, 1, MATCH(_xlfn.CONCAT("*",B191,"_storyPoints"), 'rawdata | iteration analysis'!$1:$1, 0)))</f>
        <v>#N/A</v>
      </c>
      <c r="E191" s="94" t="e">
        <f>IF(ISBLANK(A191), NA(), INDEX('rawdata | iteration analysis'!$2:$2, 1, MATCH(_xlfn.CONCAT("*",B191,"_count"), 'rawdata | iteration analysis'!$1:$1, 0)))</f>
        <v>#N/A</v>
      </c>
      <c r="F191" s="81"/>
    </row>
    <row r="192" spans="1:6" x14ac:dyDescent="0.2">
      <c r="A192" s="81"/>
      <c r="B192" s="68" t="e">
        <f t="shared" si="6"/>
        <v>#N/A</v>
      </c>
      <c r="C192" s="68"/>
      <c r="D192" s="94" t="e">
        <f>IF(ISBLANK(A192), NA(), INDEX('rawdata | iteration analysis'!$2:$2, 1, MATCH(_xlfn.CONCAT("*",B192,"_storyPoints"), 'rawdata | iteration analysis'!$1:$1, 0)))</f>
        <v>#N/A</v>
      </c>
      <c r="E192" s="94" t="e">
        <f>IF(ISBLANK(A192), NA(), INDEX('rawdata | iteration analysis'!$2:$2, 1, MATCH(_xlfn.CONCAT("*",B192,"_count"), 'rawdata | iteration analysis'!$1:$1, 0)))</f>
        <v>#N/A</v>
      </c>
      <c r="F192" s="81"/>
    </row>
    <row r="193" spans="1:6" x14ac:dyDescent="0.2">
      <c r="A193" s="81"/>
      <c r="B193" s="68" t="e">
        <f t="shared" si="6"/>
        <v>#N/A</v>
      </c>
      <c r="C193" s="68"/>
      <c r="D193" s="94" t="e">
        <f>IF(ISBLANK(A193), NA(), INDEX('rawdata | iteration analysis'!$2:$2, 1, MATCH(_xlfn.CONCAT("*",B193,"_storyPoints"), 'rawdata | iteration analysis'!$1:$1, 0)))</f>
        <v>#N/A</v>
      </c>
      <c r="E193" s="94" t="e">
        <f>IF(ISBLANK(A193), NA(), INDEX('rawdata | iteration analysis'!$2:$2, 1, MATCH(_xlfn.CONCAT("*",B193,"_count"), 'rawdata | iteration analysis'!$1:$1, 0)))</f>
        <v>#N/A</v>
      </c>
      <c r="F193" s="81"/>
    </row>
    <row r="194" spans="1:6" x14ac:dyDescent="0.2">
      <c r="A194" s="81"/>
      <c r="B194" s="68" t="e">
        <f t="shared" si="6"/>
        <v>#N/A</v>
      </c>
      <c r="C194" s="68"/>
      <c r="D194" s="94" t="e">
        <f>IF(ISBLANK(A194), NA(), INDEX('rawdata | iteration analysis'!$2:$2, 1, MATCH(_xlfn.CONCAT("*",B194,"_storyPoints"), 'rawdata | iteration analysis'!$1:$1, 0)))</f>
        <v>#N/A</v>
      </c>
      <c r="E194" s="94" t="e">
        <f>IF(ISBLANK(A194), NA(), INDEX('rawdata | iteration analysis'!$2:$2, 1, MATCH(_xlfn.CONCAT("*",B194,"_count"), 'rawdata | iteration analysis'!$1:$1, 0)))</f>
        <v>#N/A</v>
      </c>
      <c r="F194" s="81"/>
    </row>
    <row r="195" spans="1:6" x14ac:dyDescent="0.2">
      <c r="A195" s="81"/>
      <c r="B195" s="68" t="e">
        <f t="shared" si="6"/>
        <v>#N/A</v>
      </c>
      <c r="C195" s="68"/>
      <c r="D195" s="94" t="e">
        <f>IF(ISBLANK(A195), NA(), INDEX('rawdata | iteration analysis'!$2:$2, 1, MATCH(_xlfn.CONCAT("*",B195,"_storyPoints"), 'rawdata | iteration analysis'!$1:$1, 0)))</f>
        <v>#N/A</v>
      </c>
      <c r="E195" s="94" t="e">
        <f>IF(ISBLANK(A195), NA(), INDEX('rawdata | iteration analysis'!$2:$2, 1, MATCH(_xlfn.CONCAT("*",B195,"_count"), 'rawdata | iteration analysis'!$1:$1, 0)))</f>
        <v>#N/A</v>
      </c>
      <c r="F195" s="81"/>
    </row>
    <row r="196" spans="1:6" x14ac:dyDescent="0.2">
      <c r="A196" s="81"/>
      <c r="B196" s="68" t="e">
        <f t="shared" si="6"/>
        <v>#N/A</v>
      </c>
      <c r="C196" s="68"/>
      <c r="D196" s="94" t="e">
        <f>IF(ISBLANK(A196), NA(), INDEX('rawdata | iteration analysis'!$2:$2, 1, MATCH(_xlfn.CONCAT("*",B196,"_storyPoints"), 'rawdata | iteration analysis'!$1:$1, 0)))</f>
        <v>#N/A</v>
      </c>
      <c r="E196" s="94" t="e">
        <f>IF(ISBLANK(A196), NA(), INDEX('rawdata | iteration analysis'!$2:$2, 1, MATCH(_xlfn.CONCAT("*",B196,"_count"), 'rawdata | iteration analysis'!$1:$1, 0)))</f>
        <v>#N/A</v>
      </c>
      <c r="F196" s="81"/>
    </row>
    <row r="197" spans="1:6" x14ac:dyDescent="0.2">
      <c r="A197" s="81"/>
      <c r="B197" s="68" t="e">
        <f t="shared" si="6"/>
        <v>#N/A</v>
      </c>
      <c r="C197" s="68"/>
      <c r="D197" s="94" t="e">
        <f>IF(ISBLANK(A197), NA(), INDEX('rawdata | iteration analysis'!$2:$2, 1, MATCH(_xlfn.CONCAT("*",B197,"_storyPoints"), 'rawdata | iteration analysis'!$1:$1, 0)))</f>
        <v>#N/A</v>
      </c>
      <c r="E197" s="94" t="e">
        <f>IF(ISBLANK(A197), NA(), INDEX('rawdata | iteration analysis'!$2:$2, 1, MATCH(_xlfn.CONCAT("*",B197,"_count"), 'rawdata | iteration analysis'!$1:$1, 0)))</f>
        <v>#N/A</v>
      </c>
      <c r="F197" s="81"/>
    </row>
    <row r="198" spans="1:6" x14ac:dyDescent="0.2">
      <c r="A198" s="81"/>
      <c r="B198" s="68" t="e">
        <f t="shared" si="6"/>
        <v>#N/A</v>
      </c>
      <c r="C198" s="68"/>
      <c r="D198" s="94" t="e">
        <f>IF(ISBLANK(A198), NA(), INDEX('rawdata | iteration analysis'!$2:$2, 1, MATCH(_xlfn.CONCAT("*",B198,"_storyPoints"), 'rawdata | iteration analysis'!$1:$1, 0)))</f>
        <v>#N/A</v>
      </c>
      <c r="E198" s="94" t="e">
        <f>IF(ISBLANK(A198), NA(), INDEX('rawdata | iteration analysis'!$2:$2, 1, MATCH(_xlfn.CONCAT("*",B198,"_count"), 'rawdata | iteration analysis'!$1:$1, 0)))</f>
        <v>#N/A</v>
      </c>
      <c r="F198" s="81"/>
    </row>
    <row r="199" spans="1:6" x14ac:dyDescent="0.2">
      <c r="A199" s="81"/>
      <c r="B199" s="68" t="e">
        <f t="shared" si="6"/>
        <v>#N/A</v>
      </c>
      <c r="C199" s="68"/>
      <c r="D199" s="94" t="e">
        <f>IF(ISBLANK(A199), NA(), INDEX('rawdata | iteration analysis'!$2:$2, 1, MATCH(_xlfn.CONCAT("*",B199,"_storyPoints"), 'rawdata | iteration analysis'!$1:$1, 0)))</f>
        <v>#N/A</v>
      </c>
      <c r="E199" s="94" t="e">
        <f>IF(ISBLANK(A199), NA(), INDEX('rawdata | iteration analysis'!$2:$2, 1, MATCH(_xlfn.CONCAT("*",B199,"_count"), 'rawdata | iteration analysis'!$1:$1, 0)))</f>
        <v>#N/A</v>
      </c>
      <c r="F199" s="81"/>
    </row>
    <row r="200" spans="1:6" x14ac:dyDescent="0.2">
      <c r="A200" s="81"/>
      <c r="B200" s="68" t="e">
        <f t="shared" si="6"/>
        <v>#N/A</v>
      </c>
      <c r="C200" s="68"/>
      <c r="D200" s="94" t="e">
        <f>IF(ISBLANK(A200), NA(), INDEX('rawdata | iteration analysis'!$2:$2, 1, MATCH(_xlfn.CONCAT("*",B200,"_storyPoints"), 'rawdata | iteration analysis'!$1:$1, 0)))</f>
        <v>#N/A</v>
      </c>
      <c r="E200" s="94" t="e">
        <f>IF(ISBLANK(A200), NA(), INDEX('rawdata | iteration analysis'!$2:$2, 1, MATCH(_xlfn.CONCAT("*",B200,"_count"), 'rawdata | iteration analysis'!$1:$1, 0)))</f>
        <v>#N/A</v>
      </c>
      <c r="F200" s="81"/>
    </row>
    <row r="201" spans="1:6" x14ac:dyDescent="0.2">
      <c r="A201" s="81"/>
      <c r="B201" s="68" t="e">
        <f t="shared" si="6"/>
        <v>#N/A</v>
      </c>
      <c r="C201" s="68"/>
      <c r="D201" s="94" t="e">
        <f>IF(ISBLANK(A201), NA(), INDEX('rawdata | iteration analysis'!$2:$2, 1, MATCH(_xlfn.CONCAT("*",B201,"_storyPoints"), 'rawdata | iteration analysis'!$1:$1, 0)))</f>
        <v>#N/A</v>
      </c>
      <c r="E201" s="94" t="e">
        <f>IF(ISBLANK(A201), NA(), INDEX('rawdata | iteration analysis'!$2:$2, 1, MATCH(_xlfn.CONCAT("*",B201,"_count"), 'rawdata | iteration analysis'!$1:$1, 0)))</f>
        <v>#N/A</v>
      </c>
      <c r="F201" s="81"/>
    </row>
    <row r="202" spans="1:6" x14ac:dyDescent="0.2">
      <c r="A202" s="81"/>
      <c r="B202" s="68" t="e">
        <f t="shared" si="6"/>
        <v>#N/A</v>
      </c>
      <c r="C202" s="68"/>
      <c r="D202" s="94" t="e">
        <f>IF(ISBLANK(A202), NA(), INDEX('rawdata | iteration analysis'!$2:$2, 1, MATCH(_xlfn.CONCAT("*",B202,"_storyPoints"), 'rawdata | iteration analysis'!$1:$1, 0)))</f>
        <v>#N/A</v>
      </c>
      <c r="E202" s="94" t="e">
        <f>IF(ISBLANK(A202), NA(), INDEX('rawdata | iteration analysis'!$2:$2, 1, MATCH(_xlfn.CONCAT("*",B202,"_count"), 'rawdata | iteration analysis'!$1:$1, 0)))</f>
        <v>#N/A</v>
      </c>
      <c r="F202" s="81"/>
    </row>
    <row r="203" spans="1:6" x14ac:dyDescent="0.2">
      <c r="A203" s="81"/>
      <c r="B203" s="68" t="e">
        <f t="shared" si="6"/>
        <v>#N/A</v>
      </c>
      <c r="C203" s="68"/>
      <c r="D203" s="94" t="e">
        <f>IF(ISBLANK(A203), NA(), INDEX('rawdata | iteration analysis'!$2:$2, 1, MATCH(_xlfn.CONCAT("*",B203,"_storyPoints"), 'rawdata | iteration analysis'!$1:$1, 0)))</f>
        <v>#N/A</v>
      </c>
      <c r="E203" s="94" t="e">
        <f>IF(ISBLANK(A203), NA(), INDEX('rawdata | iteration analysis'!$2:$2, 1, MATCH(_xlfn.CONCAT("*",B203,"_count"), 'rawdata | iteration analysis'!$1:$1, 0)))</f>
        <v>#N/A</v>
      </c>
      <c r="F203" s="81"/>
    </row>
    <row r="204" spans="1:6" x14ac:dyDescent="0.2">
      <c r="A204" s="81"/>
      <c r="B204" s="68" t="e">
        <f t="shared" si="6"/>
        <v>#N/A</v>
      </c>
      <c r="C204" s="68"/>
      <c r="D204" s="94" t="e">
        <f>IF(ISBLANK(A204), NA(), INDEX('rawdata | iteration analysis'!$2:$2, 1, MATCH(_xlfn.CONCAT("*",B204,"_storyPoints"), 'rawdata | iteration analysis'!$1:$1, 0)))</f>
        <v>#N/A</v>
      </c>
      <c r="E204" s="94" t="e">
        <f>IF(ISBLANK(A204), NA(), INDEX('rawdata | iteration analysis'!$2:$2, 1, MATCH(_xlfn.CONCAT("*",B204,"_count"), 'rawdata | iteration analysis'!$1:$1, 0)))</f>
        <v>#N/A</v>
      </c>
      <c r="F204" s="81"/>
    </row>
    <row r="205" spans="1:6" x14ac:dyDescent="0.2">
      <c r="A205" s="81"/>
      <c r="B205" s="68" t="e">
        <f t="shared" si="6"/>
        <v>#N/A</v>
      </c>
      <c r="C205" s="68"/>
      <c r="D205" s="94" t="e">
        <f>IF(ISBLANK(A205), NA(), INDEX('rawdata | iteration analysis'!$2:$2, 1, MATCH(_xlfn.CONCAT("*",B205,"_storyPoints"), 'rawdata | iteration analysis'!$1:$1, 0)))</f>
        <v>#N/A</v>
      </c>
      <c r="E205" s="94" t="e">
        <f>IF(ISBLANK(A205), NA(), INDEX('rawdata | iteration analysis'!$2:$2, 1, MATCH(_xlfn.CONCAT("*",B205,"_count"), 'rawdata | iteration analysis'!$1:$1, 0)))</f>
        <v>#N/A</v>
      </c>
      <c r="F205" s="81"/>
    </row>
    <row r="206" spans="1:6" x14ac:dyDescent="0.2">
      <c r="A206" s="81"/>
      <c r="B206" s="68" t="e">
        <f t="shared" si="6"/>
        <v>#N/A</v>
      </c>
      <c r="C206" s="68"/>
      <c r="D206" s="94" t="e">
        <f>IF(ISBLANK(A206), NA(), INDEX('rawdata | iteration analysis'!$2:$2, 1, MATCH(_xlfn.CONCAT("*",B206,"_storyPoints"), 'rawdata | iteration analysis'!$1:$1, 0)))</f>
        <v>#N/A</v>
      </c>
      <c r="E206" s="94" t="e">
        <f>IF(ISBLANK(A206), NA(), INDEX('rawdata | iteration analysis'!$2:$2, 1, MATCH(_xlfn.CONCAT("*",B206,"_count"), 'rawdata | iteration analysis'!$1:$1, 0)))</f>
        <v>#N/A</v>
      </c>
      <c r="F206" s="81"/>
    </row>
    <row r="207" spans="1:6" x14ac:dyDescent="0.2">
      <c r="A207" s="81"/>
      <c r="B207" s="68" t="e">
        <f t="shared" si="6"/>
        <v>#N/A</v>
      </c>
      <c r="C207" s="68"/>
      <c r="D207" s="94" t="e">
        <f>IF(ISBLANK(A207), NA(), INDEX('rawdata | iteration analysis'!$2:$2, 1, MATCH(_xlfn.CONCAT("*",B207,"_storyPoints"), 'rawdata | iteration analysis'!$1:$1, 0)))</f>
        <v>#N/A</v>
      </c>
      <c r="E207" s="94" t="e">
        <f>IF(ISBLANK(A207), NA(), INDEX('rawdata | iteration analysis'!$2:$2, 1, MATCH(_xlfn.CONCAT("*",B207,"_count"), 'rawdata | iteration analysis'!$1:$1, 0)))</f>
        <v>#N/A</v>
      </c>
      <c r="F207" s="81"/>
    </row>
    <row r="208" spans="1:6" x14ac:dyDescent="0.2">
      <c r="A208" s="81"/>
      <c r="B208" s="68" t="e">
        <f t="shared" si="6"/>
        <v>#N/A</v>
      </c>
      <c r="C208" s="68"/>
      <c r="D208" s="94" t="e">
        <f>IF(ISBLANK(A208), NA(), INDEX('rawdata | iteration analysis'!$2:$2, 1, MATCH(_xlfn.CONCAT("*",B208,"_storyPoints"), 'rawdata | iteration analysis'!$1:$1, 0)))</f>
        <v>#N/A</v>
      </c>
      <c r="E208" s="94" t="e">
        <f>IF(ISBLANK(A208), NA(), INDEX('rawdata | iteration analysis'!$2:$2, 1, MATCH(_xlfn.CONCAT("*",B208,"_count"), 'rawdata | iteration analysis'!$1:$1, 0)))</f>
        <v>#N/A</v>
      </c>
      <c r="F208" s="81"/>
    </row>
    <row r="209" spans="1:6" x14ac:dyDescent="0.2">
      <c r="A209" s="81"/>
      <c r="B209" s="68" t="e">
        <f t="shared" si="6"/>
        <v>#N/A</v>
      </c>
      <c r="C209" s="68"/>
      <c r="D209" s="94" t="e">
        <f>IF(ISBLANK(A209), NA(), INDEX('rawdata | iteration analysis'!$2:$2, 1, MATCH(_xlfn.CONCAT("*",B209,"_storyPoints"), 'rawdata | iteration analysis'!$1:$1, 0)))</f>
        <v>#N/A</v>
      </c>
      <c r="E209" s="94" t="e">
        <f>IF(ISBLANK(A209), NA(), INDEX('rawdata | iteration analysis'!$2:$2, 1, MATCH(_xlfn.CONCAT("*",B209,"_count"), 'rawdata | iteration analysis'!$1:$1, 0)))</f>
        <v>#N/A</v>
      </c>
      <c r="F209" s="81"/>
    </row>
    <row r="210" spans="1:6" x14ac:dyDescent="0.2">
      <c r="A210" s="81"/>
      <c r="B210" s="68" t="e">
        <f t="shared" si="6"/>
        <v>#N/A</v>
      </c>
      <c r="C210" s="68"/>
      <c r="D210" s="94" t="e">
        <f>IF(ISBLANK(A210), NA(), INDEX('rawdata | iteration analysis'!$2:$2, 1, MATCH(_xlfn.CONCAT("*",B210,"_storyPoints"), 'rawdata | iteration analysis'!$1:$1, 0)))</f>
        <v>#N/A</v>
      </c>
      <c r="E210" s="94" t="e">
        <f>IF(ISBLANK(A210), NA(), INDEX('rawdata | iteration analysis'!$2:$2, 1, MATCH(_xlfn.CONCAT("*",B210,"_count"), 'rawdata | iteration analysis'!$1:$1, 0)))</f>
        <v>#N/A</v>
      </c>
      <c r="F210" s="81"/>
    </row>
    <row r="211" spans="1:6" x14ac:dyDescent="0.2">
      <c r="A211" s="81"/>
      <c r="B211" s="68" t="e">
        <f t="shared" si="6"/>
        <v>#N/A</v>
      </c>
      <c r="C211" s="68"/>
      <c r="D211" s="94" t="e">
        <f>IF(ISBLANK(A211), NA(), INDEX('rawdata | iteration analysis'!$2:$2, 1, MATCH(_xlfn.CONCAT("*",B211,"_storyPoints"), 'rawdata | iteration analysis'!$1:$1, 0)))</f>
        <v>#N/A</v>
      </c>
      <c r="E211" s="94" t="e">
        <f>IF(ISBLANK(A211), NA(), INDEX('rawdata | iteration analysis'!$2:$2, 1, MATCH(_xlfn.CONCAT("*",B211,"_count"), 'rawdata | iteration analysis'!$1:$1, 0)))</f>
        <v>#N/A</v>
      </c>
      <c r="F211" s="81"/>
    </row>
    <row r="212" spans="1:6" x14ac:dyDescent="0.2">
      <c r="A212" s="81"/>
      <c r="B212" s="68" t="e">
        <f t="shared" si="6"/>
        <v>#N/A</v>
      </c>
      <c r="C212" s="68"/>
      <c r="D212" s="94" t="e">
        <f>IF(ISBLANK(A212), NA(), INDEX('rawdata | iteration analysis'!$2:$2, 1, MATCH(_xlfn.CONCAT("*",B212,"_storyPoints"), 'rawdata | iteration analysis'!$1:$1, 0)))</f>
        <v>#N/A</v>
      </c>
      <c r="E212" s="94" t="e">
        <f>IF(ISBLANK(A212), NA(), INDEX('rawdata | iteration analysis'!$2:$2, 1, MATCH(_xlfn.CONCAT("*",B212,"_count"), 'rawdata | iteration analysis'!$1:$1, 0)))</f>
        <v>#N/A</v>
      </c>
      <c r="F212" s="81"/>
    </row>
    <row r="213" spans="1:6" x14ac:dyDescent="0.2">
      <c r="A213" s="81"/>
      <c r="B213" s="68" t="e">
        <f t="shared" si="6"/>
        <v>#N/A</v>
      </c>
      <c r="C213" s="68"/>
      <c r="D213" s="94" t="e">
        <f>IF(ISBLANK(A213), NA(), INDEX('rawdata | iteration analysis'!$2:$2, 1, MATCH(_xlfn.CONCAT("*",B213,"_storyPoints"), 'rawdata | iteration analysis'!$1:$1, 0)))</f>
        <v>#N/A</v>
      </c>
      <c r="E213" s="94" t="e">
        <f>IF(ISBLANK(A213), NA(), INDEX('rawdata | iteration analysis'!$2:$2, 1, MATCH(_xlfn.CONCAT("*",B213,"_count"), 'rawdata | iteration analysis'!$1:$1, 0)))</f>
        <v>#N/A</v>
      </c>
      <c r="F213" s="81"/>
    </row>
    <row r="214" spans="1:6" x14ac:dyDescent="0.2">
      <c r="D214" s="73"/>
      <c r="E214" s="73"/>
    </row>
    <row r="215" spans="1:6" x14ac:dyDescent="0.2">
      <c r="D215" s="73"/>
      <c r="E215" s="73"/>
    </row>
    <row r="216" spans="1:6" x14ac:dyDescent="0.2">
      <c r="D216" s="73"/>
      <c r="E216" s="73"/>
    </row>
    <row r="217" spans="1:6" x14ac:dyDescent="0.2">
      <c r="D217" s="73"/>
      <c r="E217" s="73"/>
    </row>
    <row r="218" spans="1:6" x14ac:dyDescent="0.2">
      <c r="D218" s="73"/>
      <c r="E218" s="73"/>
    </row>
    <row r="219" spans="1:6" x14ac:dyDescent="0.2">
      <c r="D219" s="73"/>
      <c r="E219" s="73"/>
    </row>
    <row r="220" spans="1:6" x14ac:dyDescent="0.2">
      <c r="D220" s="73"/>
      <c r="E220" s="73"/>
    </row>
    <row r="221" spans="1:6" x14ac:dyDescent="0.2">
      <c r="D221" s="73"/>
      <c r="E221" s="73"/>
    </row>
    <row r="222" spans="1:6" x14ac:dyDescent="0.2">
      <c r="D222" s="73"/>
      <c r="E222" s="73"/>
    </row>
    <row r="223" spans="1:6" x14ac:dyDescent="0.2">
      <c r="D223" s="73"/>
      <c r="E223" s="73"/>
    </row>
    <row r="224" spans="1:6" x14ac:dyDescent="0.2">
      <c r="D224" s="73"/>
      <c r="E224" s="73"/>
    </row>
    <row r="225" spans="4:5" x14ac:dyDescent="0.2">
      <c r="D225" s="73"/>
      <c r="E225" s="73"/>
    </row>
    <row r="226" spans="4:5" x14ac:dyDescent="0.2">
      <c r="D226" s="73"/>
      <c r="E226" s="73"/>
    </row>
    <row r="227" spans="4:5" x14ac:dyDescent="0.2">
      <c r="D227" s="73"/>
      <c r="E227" s="73"/>
    </row>
    <row r="228" spans="4:5" x14ac:dyDescent="0.2">
      <c r="D228" s="73"/>
      <c r="E228" s="73"/>
    </row>
    <row r="229" spans="4:5" x14ac:dyDescent="0.2">
      <c r="D229" s="73"/>
      <c r="E229" s="73"/>
    </row>
    <row r="230" spans="4:5" x14ac:dyDescent="0.2">
      <c r="D230" s="73"/>
      <c r="E230" s="73"/>
    </row>
    <row r="231" spans="4:5" x14ac:dyDescent="0.2">
      <c r="D231" s="73"/>
      <c r="E231" s="73"/>
    </row>
    <row r="232" spans="4:5" x14ac:dyDescent="0.2">
      <c r="D232" s="73"/>
      <c r="E232" s="73"/>
    </row>
    <row r="233" spans="4:5" x14ac:dyDescent="0.2">
      <c r="D233" s="73"/>
      <c r="E233" s="73"/>
    </row>
    <row r="234" spans="4:5" x14ac:dyDescent="0.2">
      <c r="D234" s="73"/>
      <c r="E234" s="73"/>
    </row>
    <row r="235" spans="4:5" x14ac:dyDescent="0.2">
      <c r="D235" s="73"/>
      <c r="E235" s="73"/>
    </row>
    <row r="236" spans="4:5" x14ac:dyDescent="0.2">
      <c r="D236" s="73"/>
      <c r="E236" s="73"/>
    </row>
    <row r="237" spans="4:5" x14ac:dyDescent="0.2">
      <c r="D237" s="73"/>
      <c r="E237" s="73"/>
    </row>
    <row r="238" spans="4:5" x14ac:dyDescent="0.2">
      <c r="D238" s="73"/>
      <c r="E238" s="73"/>
    </row>
    <row r="239" spans="4:5" x14ac:dyDescent="0.2">
      <c r="D239" s="73"/>
      <c r="E239" s="73"/>
    </row>
    <row r="240" spans="4:5" x14ac:dyDescent="0.2">
      <c r="D240" s="73"/>
      <c r="E240" s="73"/>
    </row>
    <row r="241" spans="4:5" x14ac:dyDescent="0.2">
      <c r="D241" s="73"/>
      <c r="E241" s="73"/>
    </row>
    <row r="242" spans="4:5" x14ac:dyDescent="0.2">
      <c r="D242" s="73"/>
      <c r="E242" s="73"/>
    </row>
    <row r="243" spans="4:5" x14ac:dyDescent="0.2">
      <c r="D243" s="73"/>
      <c r="E243" s="73"/>
    </row>
    <row r="244" spans="4:5" x14ac:dyDescent="0.2">
      <c r="D244" s="73"/>
      <c r="E244" s="73"/>
    </row>
    <row r="245" spans="4:5" x14ac:dyDescent="0.2">
      <c r="D245" s="73"/>
      <c r="E245" s="73"/>
    </row>
    <row r="246" spans="4:5" x14ac:dyDescent="0.2">
      <c r="D246" s="73"/>
      <c r="E246" s="73"/>
    </row>
    <row r="247" spans="4:5" x14ac:dyDescent="0.2">
      <c r="D247" s="73"/>
      <c r="E247" s="73"/>
    </row>
    <row r="248" spans="4:5" x14ac:dyDescent="0.2">
      <c r="D248" s="73"/>
      <c r="E248" s="73"/>
    </row>
    <row r="249" spans="4:5" x14ac:dyDescent="0.2">
      <c r="D249" s="73"/>
      <c r="E249" s="73"/>
    </row>
    <row r="250" spans="4:5" x14ac:dyDescent="0.2">
      <c r="D250" s="73"/>
      <c r="E250" s="73"/>
    </row>
    <row r="251" spans="4:5" x14ac:dyDescent="0.2">
      <c r="D251" s="73"/>
      <c r="E251" s="73"/>
    </row>
    <row r="252" spans="4:5" x14ac:dyDescent="0.2">
      <c r="D252" s="73"/>
      <c r="E252" s="73"/>
    </row>
    <row r="253" spans="4:5" x14ac:dyDescent="0.2">
      <c r="D253" s="73"/>
      <c r="E253" s="73"/>
    </row>
    <row r="254" spans="4:5" x14ac:dyDescent="0.2">
      <c r="D254" s="73"/>
      <c r="E254" s="73"/>
    </row>
    <row r="255" spans="4:5" x14ac:dyDescent="0.2">
      <c r="D255" s="73"/>
      <c r="E255" s="73"/>
    </row>
    <row r="256" spans="4:5" x14ac:dyDescent="0.2">
      <c r="D256" s="73"/>
      <c r="E256" s="73"/>
    </row>
    <row r="257" spans="4:5" x14ac:dyDescent="0.2">
      <c r="D257" s="73"/>
      <c r="E257" s="73"/>
    </row>
    <row r="258" spans="4:5" x14ac:dyDescent="0.2">
      <c r="D258" s="73"/>
      <c r="E258" s="73"/>
    </row>
    <row r="259" spans="4:5" x14ac:dyDescent="0.2">
      <c r="D259" s="73"/>
      <c r="E259" s="73"/>
    </row>
    <row r="260" spans="4:5" x14ac:dyDescent="0.2">
      <c r="D260" s="73"/>
      <c r="E260" s="73"/>
    </row>
    <row r="261" spans="4:5" x14ac:dyDescent="0.2">
      <c r="D261" s="73"/>
      <c r="E261" s="73"/>
    </row>
    <row r="262" spans="4:5" x14ac:dyDescent="0.2">
      <c r="D262" s="73"/>
      <c r="E262" s="73"/>
    </row>
    <row r="263" spans="4:5" x14ac:dyDescent="0.2">
      <c r="D263" s="73"/>
      <c r="E263" s="73"/>
    </row>
    <row r="264" spans="4:5" x14ac:dyDescent="0.2">
      <c r="D264" s="73"/>
      <c r="E264" s="73"/>
    </row>
    <row r="265" spans="4:5" x14ac:dyDescent="0.2">
      <c r="D265" s="73"/>
      <c r="E265" s="73"/>
    </row>
    <row r="266" spans="4:5" x14ac:dyDescent="0.2">
      <c r="D266" s="73"/>
      <c r="E266" s="73"/>
    </row>
    <row r="267" spans="4:5" x14ac:dyDescent="0.2">
      <c r="D267" s="73"/>
      <c r="E267" s="73"/>
    </row>
    <row r="268" spans="4:5" x14ac:dyDescent="0.2">
      <c r="D268" s="73"/>
      <c r="E268" s="73"/>
    </row>
    <row r="269" spans="4:5" x14ac:dyDescent="0.2">
      <c r="D269" s="73"/>
      <c r="E269" s="73"/>
    </row>
    <row r="270" spans="4:5" x14ac:dyDescent="0.2">
      <c r="D270" s="73"/>
      <c r="E270" s="73"/>
    </row>
    <row r="271" spans="4:5" x14ac:dyDescent="0.2">
      <c r="D271" s="73"/>
      <c r="E271" s="73"/>
    </row>
    <row r="272" spans="4:5" x14ac:dyDescent="0.2">
      <c r="D272" s="73"/>
      <c r="E272" s="73"/>
    </row>
    <row r="273" spans="4:5" x14ac:dyDescent="0.2">
      <c r="D273" s="73"/>
      <c r="E273" s="73"/>
    </row>
    <row r="274" spans="4:5" x14ac:dyDescent="0.2">
      <c r="D274" s="73"/>
      <c r="E274" s="73"/>
    </row>
    <row r="275" spans="4:5" x14ac:dyDescent="0.2">
      <c r="D275" s="73"/>
      <c r="E275" s="73"/>
    </row>
    <row r="276" spans="4:5" x14ac:dyDescent="0.2">
      <c r="D276" s="73"/>
      <c r="E276" s="73"/>
    </row>
    <row r="277" spans="4:5" x14ac:dyDescent="0.2">
      <c r="D277" s="73"/>
      <c r="E277" s="73"/>
    </row>
    <row r="278" spans="4:5" x14ac:dyDescent="0.2">
      <c r="D278" s="73"/>
      <c r="E278" s="73"/>
    </row>
    <row r="279" spans="4:5" x14ac:dyDescent="0.2">
      <c r="D279" s="73"/>
      <c r="E279" s="73"/>
    </row>
    <row r="280" spans="4:5" x14ac:dyDescent="0.2">
      <c r="D280" s="73"/>
      <c r="E280" s="73"/>
    </row>
    <row r="281" spans="4:5" x14ac:dyDescent="0.2">
      <c r="D281" s="73"/>
      <c r="E281" s="73"/>
    </row>
    <row r="282" spans="4:5" x14ac:dyDescent="0.2">
      <c r="D282" s="73"/>
      <c r="E282" s="73"/>
    </row>
    <row r="283" spans="4:5" x14ac:dyDescent="0.2">
      <c r="D283" s="73"/>
      <c r="E283" s="73"/>
    </row>
    <row r="284" spans="4:5" x14ac:dyDescent="0.2">
      <c r="D284" s="73"/>
      <c r="E284" s="73"/>
    </row>
    <row r="285" spans="4:5" x14ac:dyDescent="0.2">
      <c r="D285" s="73"/>
      <c r="E285" s="73"/>
    </row>
    <row r="286" spans="4:5" x14ac:dyDescent="0.2">
      <c r="D286" s="73"/>
      <c r="E286" s="73"/>
    </row>
    <row r="287" spans="4:5" x14ac:dyDescent="0.2">
      <c r="D287" s="73"/>
      <c r="E287" s="73"/>
    </row>
    <row r="288" spans="4:5" x14ac:dyDescent="0.2">
      <c r="D288" s="73"/>
      <c r="E288" s="73"/>
    </row>
    <row r="289" spans="4:5" x14ac:dyDescent="0.2">
      <c r="D289" s="73"/>
      <c r="E289" s="73"/>
    </row>
    <row r="290" spans="4:5" x14ac:dyDescent="0.2">
      <c r="D290" s="73"/>
      <c r="E290" s="73"/>
    </row>
    <row r="291" spans="4:5" x14ac:dyDescent="0.2">
      <c r="D291" s="73"/>
      <c r="E291" s="73"/>
    </row>
    <row r="292" spans="4:5" x14ac:dyDescent="0.2">
      <c r="D292" s="73"/>
      <c r="E292" s="73"/>
    </row>
    <row r="293" spans="4:5" x14ac:dyDescent="0.2">
      <c r="D293" s="73"/>
      <c r="E293" s="73"/>
    </row>
    <row r="294" spans="4:5" x14ac:dyDescent="0.2">
      <c r="D294" s="73"/>
      <c r="E294" s="73"/>
    </row>
    <row r="295" spans="4:5" x14ac:dyDescent="0.2">
      <c r="D295" s="73"/>
      <c r="E295" s="73"/>
    </row>
    <row r="296" spans="4:5" x14ac:dyDescent="0.2">
      <c r="D296" s="73"/>
      <c r="E296" s="73"/>
    </row>
    <row r="297" spans="4:5" x14ac:dyDescent="0.2">
      <c r="D297" s="73"/>
      <c r="E297" s="73"/>
    </row>
    <row r="298" spans="4:5" x14ac:dyDescent="0.2">
      <c r="D298" s="73"/>
      <c r="E298" s="73"/>
    </row>
    <row r="299" spans="4:5" x14ac:dyDescent="0.2">
      <c r="D299" s="73"/>
      <c r="E299" s="73"/>
    </row>
    <row r="300" spans="4:5" x14ac:dyDescent="0.2">
      <c r="D300" s="73"/>
      <c r="E300" s="73"/>
    </row>
    <row r="301" spans="4:5" x14ac:dyDescent="0.2">
      <c r="D301" s="73"/>
      <c r="E301" s="73"/>
    </row>
    <row r="302" spans="4:5" x14ac:dyDescent="0.2">
      <c r="D302" s="73"/>
      <c r="E302" s="73"/>
    </row>
    <row r="303" spans="4:5" x14ac:dyDescent="0.2">
      <c r="D303" s="73"/>
      <c r="E303" s="73"/>
    </row>
    <row r="304" spans="4:5" x14ac:dyDescent="0.2">
      <c r="D304" s="73"/>
      <c r="E304" s="73"/>
    </row>
    <row r="305" spans="4:5" x14ac:dyDescent="0.2">
      <c r="D305" s="73"/>
      <c r="E305" s="73"/>
    </row>
    <row r="306" spans="4:5" x14ac:dyDescent="0.2">
      <c r="D306" s="73"/>
      <c r="E306" s="73"/>
    </row>
    <row r="307" spans="4:5" x14ac:dyDescent="0.2">
      <c r="D307" s="73"/>
      <c r="E307" s="73"/>
    </row>
    <row r="308" spans="4:5" x14ac:dyDescent="0.2">
      <c r="D308" s="73"/>
      <c r="E308" s="73"/>
    </row>
    <row r="309" spans="4:5" x14ac:dyDescent="0.2">
      <c r="D309" s="73"/>
      <c r="E309" s="73"/>
    </row>
    <row r="310" spans="4:5" x14ac:dyDescent="0.2">
      <c r="D310" s="73"/>
      <c r="E310" s="73"/>
    </row>
    <row r="311" spans="4:5" x14ac:dyDescent="0.2">
      <c r="D311" s="73"/>
      <c r="E311" s="73"/>
    </row>
    <row r="312" spans="4:5" x14ac:dyDescent="0.2">
      <c r="D312" s="73"/>
      <c r="E312" s="73"/>
    </row>
    <row r="313" spans="4:5" x14ac:dyDescent="0.2">
      <c r="D313" s="73"/>
      <c r="E313" s="73"/>
    </row>
    <row r="314" spans="4:5" x14ac:dyDescent="0.2">
      <c r="D314" s="73"/>
      <c r="E314" s="73"/>
    </row>
    <row r="315" spans="4:5" x14ac:dyDescent="0.2">
      <c r="D315" s="73"/>
      <c r="E315" s="73"/>
    </row>
    <row r="316" spans="4:5" x14ac:dyDescent="0.2">
      <c r="D316" s="73"/>
      <c r="E316" s="73"/>
    </row>
    <row r="317" spans="4:5" x14ac:dyDescent="0.2">
      <c r="D317" s="73"/>
      <c r="E317" s="73"/>
    </row>
    <row r="318" spans="4:5" x14ac:dyDescent="0.2">
      <c r="D318" s="73"/>
      <c r="E318" s="73"/>
    </row>
    <row r="319" spans="4:5" x14ac:dyDescent="0.2">
      <c r="D319" s="73"/>
      <c r="E319" s="73"/>
    </row>
    <row r="320" spans="4:5" x14ac:dyDescent="0.2">
      <c r="D320" s="73"/>
      <c r="E320" s="73"/>
    </row>
    <row r="321" spans="4:5" x14ac:dyDescent="0.2">
      <c r="D321" s="73"/>
      <c r="E321" s="73"/>
    </row>
    <row r="322" spans="4:5" x14ac:dyDescent="0.2">
      <c r="D322" s="73"/>
      <c r="E322" s="73"/>
    </row>
    <row r="323" spans="4:5" x14ac:dyDescent="0.2">
      <c r="D323" s="73"/>
      <c r="E323" s="73"/>
    </row>
    <row r="324" spans="4:5" x14ac:dyDescent="0.2">
      <c r="D324" s="73"/>
      <c r="E324" s="73"/>
    </row>
    <row r="325" spans="4:5" x14ac:dyDescent="0.2">
      <c r="D325" s="73"/>
      <c r="E325" s="73"/>
    </row>
    <row r="326" spans="4:5" x14ac:dyDescent="0.2">
      <c r="D326" s="73"/>
      <c r="E326" s="73"/>
    </row>
    <row r="327" spans="4:5" x14ac:dyDescent="0.2">
      <c r="D327" s="73"/>
      <c r="E327" s="73"/>
    </row>
    <row r="328" spans="4:5" x14ac:dyDescent="0.2">
      <c r="D328" s="73"/>
      <c r="E328" s="73"/>
    </row>
    <row r="329" spans="4:5" x14ac:dyDescent="0.2">
      <c r="D329" s="73"/>
      <c r="E329" s="73"/>
    </row>
    <row r="330" spans="4:5" x14ac:dyDescent="0.2">
      <c r="D330" s="73"/>
      <c r="E330" s="73"/>
    </row>
    <row r="331" spans="4:5" x14ac:dyDescent="0.2">
      <c r="D331" s="73"/>
      <c r="E331" s="73"/>
    </row>
    <row r="332" spans="4:5" x14ac:dyDescent="0.2">
      <c r="D332" s="73"/>
      <c r="E332" s="73"/>
    </row>
    <row r="333" spans="4:5" x14ac:dyDescent="0.2">
      <c r="D333" s="73"/>
      <c r="E333" s="73"/>
    </row>
    <row r="334" spans="4:5" x14ac:dyDescent="0.2">
      <c r="D334" s="73"/>
      <c r="E334" s="73"/>
    </row>
    <row r="335" spans="4:5" x14ac:dyDescent="0.2">
      <c r="D335" s="73"/>
      <c r="E335" s="73"/>
    </row>
    <row r="336" spans="4:5" x14ac:dyDescent="0.2">
      <c r="D336" s="73"/>
      <c r="E336" s="73"/>
    </row>
    <row r="337" spans="4:5" x14ac:dyDescent="0.2">
      <c r="D337" s="73"/>
      <c r="E337" s="73"/>
    </row>
    <row r="338" spans="4:5" x14ac:dyDescent="0.2">
      <c r="D338" s="73"/>
      <c r="E338" s="73"/>
    </row>
    <row r="339" spans="4:5" x14ac:dyDescent="0.2">
      <c r="D339" s="73"/>
      <c r="E339" s="73"/>
    </row>
    <row r="340" spans="4:5" x14ac:dyDescent="0.2">
      <c r="D340" s="73"/>
      <c r="E340" s="73"/>
    </row>
    <row r="341" spans="4:5" x14ac:dyDescent="0.2">
      <c r="D341" s="73"/>
      <c r="E341" s="73"/>
    </row>
    <row r="342" spans="4:5" x14ac:dyDescent="0.2">
      <c r="D342" s="73"/>
      <c r="E342" s="73"/>
    </row>
    <row r="343" spans="4:5" x14ac:dyDescent="0.2">
      <c r="D343" s="73"/>
      <c r="E343" s="73"/>
    </row>
    <row r="344" spans="4:5" x14ac:dyDescent="0.2">
      <c r="D344" s="73"/>
      <c r="E344" s="73"/>
    </row>
    <row r="345" spans="4:5" x14ac:dyDescent="0.2">
      <c r="D345" s="73"/>
      <c r="E345" s="73"/>
    </row>
    <row r="346" spans="4:5" x14ac:dyDescent="0.2">
      <c r="D346" s="73"/>
      <c r="E346" s="73"/>
    </row>
    <row r="347" spans="4:5" x14ac:dyDescent="0.2">
      <c r="D347" s="73"/>
      <c r="E347" s="73"/>
    </row>
    <row r="348" spans="4:5" x14ac:dyDescent="0.2">
      <c r="D348" s="73"/>
      <c r="E348" s="73"/>
    </row>
    <row r="349" spans="4:5" x14ac:dyDescent="0.2">
      <c r="D349" s="73"/>
      <c r="E349" s="73"/>
    </row>
    <row r="350" spans="4:5" x14ac:dyDescent="0.2">
      <c r="D350" s="73"/>
      <c r="E350" s="73"/>
    </row>
    <row r="351" spans="4:5" x14ac:dyDescent="0.2">
      <c r="D351" s="73"/>
      <c r="E351" s="73"/>
    </row>
    <row r="352" spans="4:5" x14ac:dyDescent="0.2">
      <c r="D352" s="73"/>
      <c r="E352" s="73"/>
    </row>
    <row r="353" spans="4:5" x14ac:dyDescent="0.2">
      <c r="D353" s="73"/>
      <c r="E353" s="73"/>
    </row>
    <row r="354" spans="4:5" x14ac:dyDescent="0.2">
      <c r="D354" s="73"/>
      <c r="E354" s="73"/>
    </row>
    <row r="355" spans="4:5" x14ac:dyDescent="0.2">
      <c r="D355" s="73"/>
      <c r="E355" s="73"/>
    </row>
    <row r="356" spans="4:5" x14ac:dyDescent="0.2">
      <c r="D356" s="73"/>
      <c r="E356" s="73"/>
    </row>
    <row r="357" spans="4:5" x14ac:dyDescent="0.2">
      <c r="D357" s="73"/>
      <c r="E357" s="73"/>
    </row>
    <row r="358" spans="4:5" x14ac:dyDescent="0.2">
      <c r="D358" s="73"/>
      <c r="E358" s="73"/>
    </row>
    <row r="359" spans="4:5" x14ac:dyDescent="0.2">
      <c r="D359" s="73"/>
      <c r="E359" s="73"/>
    </row>
    <row r="360" spans="4:5" x14ac:dyDescent="0.2">
      <c r="D360" s="73"/>
      <c r="E360" s="73"/>
    </row>
    <row r="361" spans="4:5" x14ac:dyDescent="0.2">
      <c r="D361" s="73"/>
      <c r="E361" s="73"/>
    </row>
    <row r="362" spans="4:5" x14ac:dyDescent="0.2">
      <c r="D362" s="73"/>
      <c r="E362" s="73"/>
    </row>
    <row r="363" spans="4:5" x14ac:dyDescent="0.2">
      <c r="D363" s="73"/>
      <c r="E363" s="73"/>
    </row>
    <row r="364" spans="4:5" x14ac:dyDescent="0.2">
      <c r="D364" s="73"/>
      <c r="E364" s="73"/>
    </row>
    <row r="365" spans="4:5" x14ac:dyDescent="0.2">
      <c r="D365" s="73"/>
      <c r="E365" s="73"/>
    </row>
    <row r="366" spans="4:5" x14ac:dyDescent="0.2">
      <c r="D366" s="73"/>
      <c r="E366" s="73"/>
    </row>
    <row r="367" spans="4:5" x14ac:dyDescent="0.2">
      <c r="D367" s="73"/>
      <c r="E367" s="73"/>
    </row>
    <row r="368" spans="4:5" x14ac:dyDescent="0.2">
      <c r="D368" s="73"/>
      <c r="E368" s="73"/>
    </row>
    <row r="369" spans="4:5" x14ac:dyDescent="0.2">
      <c r="D369" s="73"/>
      <c r="E369" s="73"/>
    </row>
    <row r="370" spans="4:5" x14ac:dyDescent="0.2">
      <c r="D370" s="73"/>
      <c r="E370" s="73"/>
    </row>
    <row r="371" spans="4:5" x14ac:dyDescent="0.2">
      <c r="D371" s="73"/>
      <c r="E371" s="73"/>
    </row>
    <row r="372" spans="4:5" x14ac:dyDescent="0.2">
      <c r="D372" s="73"/>
      <c r="E372" s="73"/>
    </row>
    <row r="373" spans="4:5" x14ac:dyDescent="0.2">
      <c r="D373" s="73"/>
      <c r="E373" s="73"/>
    </row>
    <row r="374" spans="4:5" x14ac:dyDescent="0.2">
      <c r="D374" s="73"/>
      <c r="E374" s="73"/>
    </row>
    <row r="375" spans="4:5" x14ac:dyDescent="0.2">
      <c r="D375" s="73"/>
      <c r="E375" s="73"/>
    </row>
    <row r="376" spans="4:5" x14ac:dyDescent="0.2">
      <c r="D376" s="73"/>
      <c r="E376" s="73"/>
    </row>
    <row r="377" spans="4:5" x14ac:dyDescent="0.2">
      <c r="D377" s="73"/>
      <c r="E377" s="73"/>
    </row>
    <row r="378" spans="4:5" x14ac:dyDescent="0.2">
      <c r="D378" s="73"/>
      <c r="E378" s="73"/>
    </row>
    <row r="379" spans="4:5" x14ac:dyDescent="0.2">
      <c r="D379" s="73"/>
      <c r="E379" s="73"/>
    </row>
    <row r="380" spans="4:5" x14ac:dyDescent="0.2">
      <c r="D380" s="73"/>
      <c r="E380" s="73"/>
    </row>
    <row r="381" spans="4:5" x14ac:dyDescent="0.2">
      <c r="D381" s="73"/>
      <c r="E381" s="73"/>
    </row>
    <row r="382" spans="4:5" x14ac:dyDescent="0.2">
      <c r="D382" s="73"/>
      <c r="E382" s="73"/>
    </row>
    <row r="383" spans="4:5" x14ac:dyDescent="0.2">
      <c r="D383" s="73"/>
      <c r="E383" s="73"/>
    </row>
    <row r="384" spans="4:5" x14ac:dyDescent="0.2">
      <c r="D384" s="73"/>
      <c r="E384" s="73"/>
    </row>
    <row r="385" spans="4:5" x14ac:dyDescent="0.2">
      <c r="D385" s="73"/>
      <c r="E385" s="73"/>
    </row>
    <row r="386" spans="4:5" x14ac:dyDescent="0.2">
      <c r="D386" s="73"/>
      <c r="E386" s="73"/>
    </row>
    <row r="387" spans="4:5" x14ac:dyDescent="0.2">
      <c r="D387" s="73"/>
      <c r="E387" s="73"/>
    </row>
    <row r="388" spans="4:5" x14ac:dyDescent="0.2">
      <c r="D388" s="73"/>
      <c r="E388" s="73"/>
    </row>
    <row r="389" spans="4:5" x14ac:dyDescent="0.2">
      <c r="D389" s="73"/>
      <c r="E389" s="73"/>
    </row>
    <row r="390" spans="4:5" x14ac:dyDescent="0.2">
      <c r="D390" s="73"/>
      <c r="E390" s="73"/>
    </row>
    <row r="391" spans="4:5" x14ac:dyDescent="0.2">
      <c r="D391" s="73"/>
      <c r="E391" s="73"/>
    </row>
    <row r="392" spans="4:5" x14ac:dyDescent="0.2">
      <c r="D392" s="73"/>
      <c r="E392" s="73"/>
    </row>
    <row r="393" spans="4:5" x14ac:dyDescent="0.2">
      <c r="D393" s="73"/>
      <c r="E393" s="73"/>
    </row>
    <row r="394" spans="4:5" x14ac:dyDescent="0.2">
      <c r="D394" s="73"/>
      <c r="E394" s="73"/>
    </row>
    <row r="395" spans="4:5" x14ac:dyDescent="0.2">
      <c r="D395" s="73"/>
      <c r="E395" s="73"/>
    </row>
    <row r="396" spans="4:5" x14ac:dyDescent="0.2">
      <c r="D396" s="73"/>
      <c r="E396" s="73"/>
    </row>
    <row r="397" spans="4:5" x14ac:dyDescent="0.2">
      <c r="D397" s="73"/>
      <c r="E397" s="73"/>
    </row>
    <row r="398" spans="4:5" x14ac:dyDescent="0.2">
      <c r="D398" s="73"/>
      <c r="E398" s="73"/>
    </row>
    <row r="399" spans="4:5" x14ac:dyDescent="0.2">
      <c r="D399" s="73"/>
      <c r="E399" s="73"/>
    </row>
    <row r="400" spans="4:5" x14ac:dyDescent="0.2">
      <c r="D400" s="73"/>
      <c r="E400" s="73"/>
    </row>
    <row r="401" spans="4:5" x14ac:dyDescent="0.2">
      <c r="D401" s="73"/>
      <c r="E401" s="73"/>
    </row>
    <row r="402" spans="4:5" x14ac:dyDescent="0.2">
      <c r="D402" s="73"/>
      <c r="E402" s="73"/>
    </row>
    <row r="403" spans="4:5" x14ac:dyDescent="0.2">
      <c r="D403" s="73"/>
      <c r="E403" s="73"/>
    </row>
    <row r="404" spans="4:5" x14ac:dyDescent="0.2">
      <c r="D404" s="73"/>
      <c r="E404" s="73"/>
    </row>
    <row r="405" spans="4:5" x14ac:dyDescent="0.2">
      <c r="D405" s="73"/>
      <c r="E405" s="73"/>
    </row>
    <row r="406" spans="4:5" x14ac:dyDescent="0.2">
      <c r="D406" s="73"/>
      <c r="E406" s="73"/>
    </row>
    <row r="407" spans="4:5" x14ac:dyDescent="0.2">
      <c r="D407" s="73"/>
      <c r="E407" s="73"/>
    </row>
    <row r="408" spans="4:5" x14ac:dyDescent="0.2">
      <c r="D408" s="73"/>
      <c r="E408" s="73"/>
    </row>
    <row r="409" spans="4:5" x14ac:dyDescent="0.2">
      <c r="D409" s="73"/>
      <c r="E409" s="73"/>
    </row>
    <row r="410" spans="4:5" x14ac:dyDescent="0.2">
      <c r="D410" s="73"/>
      <c r="E410" s="73"/>
    </row>
    <row r="411" spans="4:5" x14ac:dyDescent="0.2">
      <c r="D411" s="73"/>
      <c r="E411" s="73"/>
    </row>
    <row r="412" spans="4:5" x14ac:dyDescent="0.2">
      <c r="D412" s="73"/>
      <c r="E412" s="73"/>
    </row>
    <row r="413" spans="4:5" x14ac:dyDescent="0.2">
      <c r="D413" s="73"/>
      <c r="E413" s="73"/>
    </row>
    <row r="414" spans="4:5" x14ac:dyDescent="0.2">
      <c r="D414" s="73"/>
      <c r="E414" s="73"/>
    </row>
    <row r="415" spans="4:5" x14ac:dyDescent="0.2">
      <c r="D415" s="73"/>
      <c r="E415" s="73"/>
    </row>
    <row r="416" spans="4:5" x14ac:dyDescent="0.2">
      <c r="D416" s="73"/>
      <c r="E416" s="73"/>
    </row>
    <row r="417" spans="4:5" x14ac:dyDescent="0.2">
      <c r="D417" s="73"/>
      <c r="E417" s="73"/>
    </row>
    <row r="418" spans="4:5" x14ac:dyDescent="0.2">
      <c r="D418" s="73"/>
      <c r="E418" s="73"/>
    </row>
    <row r="419" spans="4:5" x14ac:dyDescent="0.2">
      <c r="D419" s="73"/>
      <c r="E419" s="73"/>
    </row>
    <row r="420" spans="4:5" x14ac:dyDescent="0.2">
      <c r="D420" s="73"/>
      <c r="E420" s="73"/>
    </row>
    <row r="421" spans="4:5" x14ac:dyDescent="0.2">
      <c r="D421" s="73"/>
      <c r="E421" s="73"/>
    </row>
    <row r="422" spans="4:5" x14ac:dyDescent="0.2">
      <c r="D422" s="73"/>
      <c r="E422" s="73"/>
    </row>
    <row r="423" spans="4:5" x14ac:dyDescent="0.2">
      <c r="D423" s="73"/>
      <c r="E423" s="73"/>
    </row>
    <row r="424" spans="4:5" x14ac:dyDescent="0.2">
      <c r="D424" s="73"/>
      <c r="E424" s="73"/>
    </row>
    <row r="425" spans="4:5" x14ac:dyDescent="0.2">
      <c r="D425" s="73"/>
      <c r="E425" s="73"/>
    </row>
    <row r="426" spans="4:5" x14ac:dyDescent="0.2">
      <c r="D426" s="73"/>
      <c r="E426" s="73"/>
    </row>
    <row r="427" spans="4:5" x14ac:dyDescent="0.2">
      <c r="D427" s="73"/>
      <c r="E427" s="73"/>
    </row>
    <row r="428" spans="4:5" x14ac:dyDescent="0.2">
      <c r="D428" s="73"/>
      <c r="E428" s="73"/>
    </row>
    <row r="429" spans="4:5" x14ac:dyDescent="0.2">
      <c r="D429" s="73"/>
      <c r="E429" s="73"/>
    </row>
    <row r="430" spans="4:5" x14ac:dyDescent="0.2">
      <c r="D430" s="73"/>
      <c r="E430" s="73"/>
    </row>
    <row r="431" spans="4:5" x14ac:dyDescent="0.2">
      <c r="D431" s="73"/>
      <c r="E431" s="73"/>
    </row>
    <row r="432" spans="4:5" x14ac:dyDescent="0.2">
      <c r="D432" s="73"/>
      <c r="E432" s="73"/>
    </row>
    <row r="433" spans="4:5" x14ac:dyDescent="0.2">
      <c r="D433" s="73"/>
      <c r="E433" s="73"/>
    </row>
    <row r="434" spans="4:5" x14ac:dyDescent="0.2">
      <c r="D434" s="73"/>
      <c r="E434" s="73"/>
    </row>
    <row r="435" spans="4:5" x14ac:dyDescent="0.2">
      <c r="D435" s="73"/>
      <c r="E435" s="73"/>
    </row>
    <row r="436" spans="4:5" x14ac:dyDescent="0.2">
      <c r="D436" s="73"/>
      <c r="E436" s="73"/>
    </row>
    <row r="437" spans="4:5" x14ac:dyDescent="0.2">
      <c r="D437" s="73"/>
      <c r="E437" s="73"/>
    </row>
    <row r="438" spans="4:5" x14ac:dyDescent="0.2">
      <c r="D438" s="73"/>
      <c r="E438" s="73"/>
    </row>
    <row r="439" spans="4:5" x14ac:dyDescent="0.2">
      <c r="D439" s="73"/>
      <c r="E439" s="73"/>
    </row>
    <row r="440" spans="4:5" x14ac:dyDescent="0.2">
      <c r="D440" s="73"/>
      <c r="E440" s="73"/>
    </row>
    <row r="441" spans="4:5" x14ac:dyDescent="0.2">
      <c r="D441" s="73"/>
      <c r="E441" s="73"/>
    </row>
    <row r="442" spans="4:5" x14ac:dyDescent="0.2">
      <c r="D442" s="73"/>
      <c r="E442" s="73"/>
    </row>
    <row r="443" spans="4:5" x14ac:dyDescent="0.2">
      <c r="D443" s="73"/>
      <c r="E443" s="73"/>
    </row>
    <row r="444" spans="4:5" x14ac:dyDescent="0.2">
      <c r="D444" s="73"/>
      <c r="E444" s="73"/>
    </row>
    <row r="445" spans="4:5" x14ac:dyDescent="0.2">
      <c r="D445" s="73"/>
      <c r="E445" s="73"/>
    </row>
    <row r="446" spans="4:5" x14ac:dyDescent="0.2">
      <c r="D446" s="73"/>
      <c r="E446" s="73"/>
    </row>
    <row r="447" spans="4:5" x14ac:dyDescent="0.2">
      <c r="D447" s="73"/>
      <c r="E447" s="73"/>
    </row>
    <row r="448" spans="4:5" x14ac:dyDescent="0.2">
      <c r="D448" s="73"/>
      <c r="E448" s="73"/>
    </row>
    <row r="449" spans="4:5" x14ac:dyDescent="0.2">
      <c r="D449" s="73"/>
      <c r="E449" s="73"/>
    </row>
    <row r="450" spans="4:5" x14ac:dyDescent="0.2">
      <c r="D450" s="73"/>
      <c r="E450" s="73"/>
    </row>
    <row r="451" spans="4:5" x14ac:dyDescent="0.2">
      <c r="D451" s="73"/>
      <c r="E451" s="73"/>
    </row>
    <row r="452" spans="4:5" x14ac:dyDescent="0.2">
      <c r="D452" s="73"/>
      <c r="E452" s="73"/>
    </row>
    <row r="453" spans="4:5" x14ac:dyDescent="0.2">
      <c r="D453" s="73"/>
      <c r="E453" s="73"/>
    </row>
    <row r="454" spans="4:5" x14ac:dyDescent="0.2">
      <c r="D454" s="73"/>
      <c r="E454" s="73"/>
    </row>
    <row r="455" spans="4:5" x14ac:dyDescent="0.2">
      <c r="D455" s="73"/>
      <c r="E455" s="73"/>
    </row>
    <row r="456" spans="4:5" x14ac:dyDescent="0.2">
      <c r="D456" s="73"/>
      <c r="E456" s="73"/>
    </row>
    <row r="457" spans="4:5" x14ac:dyDescent="0.2">
      <c r="D457" s="73"/>
      <c r="E457" s="73"/>
    </row>
    <row r="458" spans="4:5" x14ac:dyDescent="0.2">
      <c r="D458" s="73"/>
      <c r="E458" s="73"/>
    </row>
    <row r="459" spans="4:5" x14ac:dyDescent="0.2">
      <c r="D459" s="73"/>
      <c r="E459" s="73"/>
    </row>
    <row r="460" spans="4:5" x14ac:dyDescent="0.2">
      <c r="D460" s="73"/>
      <c r="E460" s="73"/>
    </row>
    <row r="461" spans="4:5" x14ac:dyDescent="0.2">
      <c r="D461" s="73"/>
      <c r="E461" s="73"/>
    </row>
    <row r="462" spans="4:5" x14ac:dyDescent="0.2">
      <c r="D462" s="73"/>
      <c r="E462" s="73"/>
    </row>
    <row r="463" spans="4:5" x14ac:dyDescent="0.2">
      <c r="D463" s="73"/>
      <c r="E463" s="73"/>
    </row>
    <row r="464" spans="4:5" x14ac:dyDescent="0.2">
      <c r="D464" s="73"/>
      <c r="E464" s="73"/>
    </row>
    <row r="465" spans="4:5" x14ac:dyDescent="0.2">
      <c r="D465" s="73"/>
      <c r="E465" s="73"/>
    </row>
    <row r="466" spans="4:5" x14ac:dyDescent="0.2">
      <c r="D466" s="73"/>
      <c r="E466" s="73"/>
    </row>
    <row r="467" spans="4:5" x14ac:dyDescent="0.2">
      <c r="D467" s="73"/>
      <c r="E467" s="73"/>
    </row>
    <row r="468" spans="4:5" x14ac:dyDescent="0.2">
      <c r="D468" s="73"/>
      <c r="E468" s="73"/>
    </row>
    <row r="469" spans="4:5" x14ac:dyDescent="0.2">
      <c r="D469" s="73"/>
      <c r="E469" s="73"/>
    </row>
    <row r="470" spans="4:5" x14ac:dyDescent="0.2">
      <c r="D470" s="73"/>
      <c r="E470" s="73"/>
    </row>
    <row r="471" spans="4:5" x14ac:dyDescent="0.2">
      <c r="D471" s="73"/>
      <c r="E471" s="73"/>
    </row>
    <row r="472" spans="4:5" x14ac:dyDescent="0.2">
      <c r="D472" s="73"/>
      <c r="E472" s="73"/>
    </row>
    <row r="473" spans="4:5" x14ac:dyDescent="0.2">
      <c r="D473" s="73"/>
      <c r="E473" s="73"/>
    </row>
    <row r="474" spans="4:5" x14ac:dyDescent="0.2">
      <c r="D474" s="73"/>
      <c r="E474" s="73"/>
    </row>
    <row r="475" spans="4:5" x14ac:dyDescent="0.2">
      <c r="D475" s="73"/>
      <c r="E475" s="73"/>
    </row>
    <row r="476" spans="4:5" x14ac:dyDescent="0.2">
      <c r="D476" s="73"/>
      <c r="E476" s="73"/>
    </row>
    <row r="477" spans="4:5" x14ac:dyDescent="0.2">
      <c r="D477" s="73"/>
      <c r="E477" s="73"/>
    </row>
    <row r="478" spans="4:5" x14ac:dyDescent="0.2">
      <c r="D478" s="73"/>
      <c r="E478" s="73"/>
    </row>
    <row r="479" spans="4:5" x14ac:dyDescent="0.2">
      <c r="D479" s="73"/>
      <c r="E479" s="73"/>
    </row>
    <row r="480" spans="4:5" x14ac:dyDescent="0.2">
      <c r="D480" s="73"/>
      <c r="E480" s="73"/>
    </row>
    <row r="481" spans="4:5" x14ac:dyDescent="0.2">
      <c r="D481" s="73"/>
      <c r="E481" s="73"/>
    </row>
    <row r="482" spans="4:5" x14ac:dyDescent="0.2">
      <c r="D482" s="73"/>
      <c r="E482" s="73"/>
    </row>
    <row r="483" spans="4:5" x14ac:dyDescent="0.2">
      <c r="D483" s="73"/>
      <c r="E483" s="73"/>
    </row>
    <row r="484" spans="4:5" x14ac:dyDescent="0.2">
      <c r="D484" s="73"/>
      <c r="E484" s="73"/>
    </row>
    <row r="485" spans="4:5" x14ac:dyDescent="0.2">
      <c r="D485" s="73"/>
      <c r="E485" s="73"/>
    </row>
    <row r="486" spans="4:5" x14ac:dyDescent="0.2">
      <c r="D486" s="73"/>
      <c r="E486" s="73"/>
    </row>
    <row r="487" spans="4:5" x14ac:dyDescent="0.2">
      <c r="D487" s="73"/>
      <c r="E487" s="73"/>
    </row>
    <row r="488" spans="4:5" x14ac:dyDescent="0.2">
      <c r="D488" s="73"/>
      <c r="E488" s="73"/>
    </row>
    <row r="489" spans="4:5" x14ac:dyDescent="0.2">
      <c r="D489" s="73"/>
      <c r="E489" s="73"/>
    </row>
    <row r="490" spans="4:5" x14ac:dyDescent="0.2">
      <c r="D490" s="73"/>
      <c r="E490" s="73"/>
    </row>
    <row r="491" spans="4:5" x14ac:dyDescent="0.2">
      <c r="D491" s="73"/>
      <c r="E491" s="73"/>
    </row>
    <row r="492" spans="4:5" x14ac:dyDescent="0.2">
      <c r="D492" s="73"/>
      <c r="E492" s="73"/>
    </row>
    <row r="493" spans="4:5" x14ac:dyDescent="0.2">
      <c r="D493" s="73"/>
      <c r="E493" s="73"/>
    </row>
    <row r="494" spans="4:5" x14ac:dyDescent="0.2">
      <c r="D494" s="73"/>
      <c r="E494" s="73"/>
    </row>
    <row r="495" spans="4:5" x14ac:dyDescent="0.2">
      <c r="D495" s="73"/>
      <c r="E495" s="73"/>
    </row>
    <row r="496" spans="4:5" x14ac:dyDescent="0.2">
      <c r="D496" s="73"/>
      <c r="E496" s="73"/>
    </row>
    <row r="497" spans="4:5" x14ac:dyDescent="0.2">
      <c r="D497" s="73"/>
      <c r="E497" s="73"/>
    </row>
    <row r="498" spans="4:5" x14ac:dyDescent="0.2">
      <c r="D498" s="73"/>
      <c r="E498" s="73"/>
    </row>
    <row r="499" spans="4:5" x14ac:dyDescent="0.2">
      <c r="D499" s="73"/>
      <c r="E499" s="73"/>
    </row>
    <row r="500" spans="4:5" x14ac:dyDescent="0.2">
      <c r="D500" s="73"/>
      <c r="E500" s="73"/>
    </row>
    <row r="501" spans="4:5" x14ac:dyDescent="0.2">
      <c r="D501" s="73"/>
      <c r="E501" s="73"/>
    </row>
    <row r="502" spans="4:5" x14ac:dyDescent="0.2">
      <c r="D502" s="73"/>
      <c r="E502" s="73"/>
    </row>
    <row r="503" spans="4:5" x14ac:dyDescent="0.2">
      <c r="D503" s="73"/>
      <c r="E503" s="73"/>
    </row>
    <row r="504" spans="4:5" x14ac:dyDescent="0.2">
      <c r="D504" s="73"/>
      <c r="E504" s="73"/>
    </row>
    <row r="505" spans="4:5" x14ac:dyDescent="0.2">
      <c r="D505" s="73"/>
      <c r="E505" s="73"/>
    </row>
    <row r="506" spans="4:5" x14ac:dyDescent="0.2">
      <c r="D506" s="73"/>
      <c r="E506" s="73"/>
    </row>
    <row r="507" spans="4:5" x14ac:dyDescent="0.2">
      <c r="D507" s="73"/>
      <c r="E507" s="73"/>
    </row>
    <row r="508" spans="4:5" x14ac:dyDescent="0.2">
      <c r="D508" s="73"/>
      <c r="E508" s="73"/>
    </row>
    <row r="509" spans="4:5" x14ac:dyDescent="0.2">
      <c r="D509" s="73"/>
      <c r="E509" s="73"/>
    </row>
    <row r="510" spans="4:5" x14ac:dyDescent="0.2">
      <c r="D510" s="73"/>
      <c r="E510" s="73"/>
    </row>
    <row r="511" spans="4:5" x14ac:dyDescent="0.2">
      <c r="D511" s="73"/>
      <c r="E511" s="73"/>
    </row>
    <row r="512" spans="4:5" x14ac:dyDescent="0.2">
      <c r="D512" s="73"/>
      <c r="E512" s="73"/>
    </row>
    <row r="513" spans="4:5" x14ac:dyDescent="0.2">
      <c r="D513" s="73"/>
      <c r="E513" s="73"/>
    </row>
    <row r="514" spans="4:5" x14ac:dyDescent="0.2">
      <c r="D514" s="73"/>
      <c r="E514" s="73"/>
    </row>
    <row r="515" spans="4:5" x14ac:dyDescent="0.2">
      <c r="D515" s="73"/>
      <c r="E515" s="73"/>
    </row>
    <row r="516" spans="4:5" x14ac:dyDescent="0.2">
      <c r="D516" s="73"/>
      <c r="E516" s="73"/>
    </row>
    <row r="517" spans="4:5" x14ac:dyDescent="0.2">
      <c r="D517" s="73"/>
      <c r="E517" s="73"/>
    </row>
    <row r="518" spans="4:5" x14ac:dyDescent="0.2">
      <c r="D518" s="73"/>
      <c r="E518" s="73"/>
    </row>
    <row r="519" spans="4:5" x14ac:dyDescent="0.2">
      <c r="D519" s="73"/>
      <c r="E519" s="73"/>
    </row>
    <row r="520" spans="4:5" x14ac:dyDescent="0.2">
      <c r="D520" s="73"/>
      <c r="E520" s="73"/>
    </row>
    <row r="521" spans="4:5" x14ac:dyDescent="0.2">
      <c r="D521" s="73"/>
      <c r="E521" s="73"/>
    </row>
    <row r="522" spans="4:5" x14ac:dyDescent="0.2">
      <c r="D522" s="73"/>
      <c r="E522" s="73"/>
    </row>
    <row r="523" spans="4:5" x14ac:dyDescent="0.2">
      <c r="D523" s="73"/>
      <c r="E523" s="73"/>
    </row>
    <row r="524" spans="4:5" x14ac:dyDescent="0.2">
      <c r="D524" s="73"/>
      <c r="E524" s="73"/>
    </row>
    <row r="525" spans="4:5" x14ac:dyDescent="0.2">
      <c r="D525" s="73"/>
      <c r="E525" s="73"/>
    </row>
    <row r="526" spans="4:5" x14ac:dyDescent="0.2">
      <c r="D526" s="73"/>
      <c r="E526" s="73"/>
    </row>
    <row r="527" spans="4:5" x14ac:dyDescent="0.2">
      <c r="D527" s="73"/>
      <c r="E527" s="73"/>
    </row>
    <row r="528" spans="4:5" x14ac:dyDescent="0.2">
      <c r="D528" s="73"/>
      <c r="E528" s="73"/>
    </row>
    <row r="529" spans="4:5" x14ac:dyDescent="0.2">
      <c r="D529" s="73"/>
      <c r="E529" s="73"/>
    </row>
    <row r="530" spans="4:5" x14ac:dyDescent="0.2">
      <c r="D530" s="73"/>
      <c r="E530" s="73"/>
    </row>
    <row r="531" spans="4:5" x14ac:dyDescent="0.2">
      <c r="D531" s="73"/>
      <c r="E531" s="73"/>
    </row>
    <row r="532" spans="4:5" x14ac:dyDescent="0.2">
      <c r="D532" s="73"/>
      <c r="E532" s="73"/>
    </row>
    <row r="533" spans="4:5" x14ac:dyDescent="0.2">
      <c r="D533" s="73"/>
      <c r="E533" s="73"/>
    </row>
    <row r="534" spans="4:5" x14ac:dyDescent="0.2">
      <c r="D534" s="73"/>
      <c r="E534" s="73"/>
    </row>
    <row r="535" spans="4:5" x14ac:dyDescent="0.2">
      <c r="D535" s="73"/>
      <c r="E535" s="73"/>
    </row>
    <row r="536" spans="4:5" x14ac:dyDescent="0.2">
      <c r="D536" s="73"/>
      <c r="E536" s="73"/>
    </row>
    <row r="537" spans="4:5" x14ac:dyDescent="0.2">
      <c r="D537" s="73"/>
      <c r="E537" s="73"/>
    </row>
    <row r="538" spans="4:5" x14ac:dyDescent="0.2">
      <c r="D538" s="73"/>
      <c r="E538" s="73"/>
    </row>
    <row r="539" spans="4:5" x14ac:dyDescent="0.2">
      <c r="D539" s="73"/>
      <c r="E539" s="73"/>
    </row>
    <row r="540" spans="4:5" x14ac:dyDescent="0.2">
      <c r="D540" s="73"/>
      <c r="E540" s="73"/>
    </row>
    <row r="541" spans="4:5" x14ac:dyDescent="0.2">
      <c r="D541" s="73"/>
      <c r="E541" s="73"/>
    </row>
    <row r="542" spans="4:5" x14ac:dyDescent="0.2">
      <c r="D542" s="73"/>
      <c r="E542" s="73"/>
    </row>
    <row r="543" spans="4:5" x14ac:dyDescent="0.2">
      <c r="D543" s="73"/>
      <c r="E543" s="73"/>
    </row>
    <row r="544" spans="4:5" x14ac:dyDescent="0.2">
      <c r="D544" s="73"/>
      <c r="E544" s="73"/>
    </row>
    <row r="545" spans="4:5" x14ac:dyDescent="0.2">
      <c r="D545" s="73"/>
      <c r="E545" s="73"/>
    </row>
    <row r="546" spans="4:5" x14ac:dyDescent="0.2">
      <c r="D546" s="73"/>
      <c r="E546" s="73"/>
    </row>
    <row r="547" spans="4:5" x14ac:dyDescent="0.2">
      <c r="D547" s="73"/>
      <c r="E547" s="73"/>
    </row>
    <row r="548" spans="4:5" x14ac:dyDescent="0.2">
      <c r="D548" s="73"/>
      <c r="E548" s="73"/>
    </row>
    <row r="549" spans="4:5" x14ac:dyDescent="0.2">
      <c r="D549" s="73"/>
      <c r="E549" s="73"/>
    </row>
    <row r="550" spans="4:5" x14ac:dyDescent="0.2">
      <c r="D550" s="73"/>
      <c r="E550" s="73"/>
    </row>
    <row r="551" spans="4:5" x14ac:dyDescent="0.2">
      <c r="D551" s="73"/>
      <c r="E551" s="73"/>
    </row>
    <row r="552" spans="4:5" x14ac:dyDescent="0.2">
      <c r="D552" s="73"/>
      <c r="E552" s="73"/>
    </row>
    <row r="553" spans="4:5" x14ac:dyDescent="0.2">
      <c r="D553" s="73"/>
      <c r="E553" s="73"/>
    </row>
    <row r="554" spans="4:5" x14ac:dyDescent="0.2">
      <c r="D554" s="73"/>
      <c r="E554" s="73"/>
    </row>
    <row r="555" spans="4:5" x14ac:dyDescent="0.2">
      <c r="D555" s="73"/>
      <c r="E555" s="73"/>
    </row>
    <row r="556" spans="4:5" x14ac:dyDescent="0.2">
      <c r="D556" s="73"/>
      <c r="E556" s="73"/>
    </row>
    <row r="557" spans="4:5" x14ac:dyDescent="0.2">
      <c r="D557" s="73"/>
      <c r="E557" s="73"/>
    </row>
    <row r="558" spans="4:5" x14ac:dyDescent="0.2">
      <c r="D558" s="73"/>
      <c r="E558" s="73"/>
    </row>
    <row r="559" spans="4:5" x14ac:dyDescent="0.2">
      <c r="D559" s="73"/>
      <c r="E559" s="73"/>
    </row>
    <row r="560" spans="4:5" x14ac:dyDescent="0.2">
      <c r="D560" s="73"/>
      <c r="E560" s="73"/>
    </row>
    <row r="561" spans="4:5" x14ac:dyDescent="0.2">
      <c r="D561" s="73"/>
      <c r="E561" s="73"/>
    </row>
    <row r="562" spans="4:5" x14ac:dyDescent="0.2">
      <c r="D562" s="73"/>
      <c r="E562" s="73"/>
    </row>
    <row r="563" spans="4:5" x14ac:dyDescent="0.2">
      <c r="D563" s="73"/>
      <c r="E563" s="73"/>
    </row>
    <row r="564" spans="4:5" x14ac:dyDescent="0.2">
      <c r="D564" s="73"/>
      <c r="E564" s="73"/>
    </row>
    <row r="565" spans="4:5" x14ac:dyDescent="0.2">
      <c r="D565" s="73"/>
      <c r="E565" s="73"/>
    </row>
    <row r="566" spans="4:5" x14ac:dyDescent="0.2">
      <c r="D566" s="73"/>
      <c r="E566" s="73"/>
    </row>
    <row r="567" spans="4:5" x14ac:dyDescent="0.2">
      <c r="D567" s="73"/>
      <c r="E567" s="73"/>
    </row>
    <row r="568" spans="4:5" x14ac:dyDescent="0.2">
      <c r="D568" s="73"/>
      <c r="E568" s="73"/>
    </row>
    <row r="569" spans="4:5" x14ac:dyDescent="0.2">
      <c r="D569" s="73"/>
      <c r="E569" s="73"/>
    </row>
    <row r="570" spans="4:5" x14ac:dyDescent="0.2">
      <c r="D570" s="73"/>
      <c r="E570" s="73"/>
    </row>
    <row r="571" spans="4:5" x14ac:dyDescent="0.2">
      <c r="D571" s="73"/>
      <c r="E571" s="73"/>
    </row>
    <row r="572" spans="4:5" x14ac:dyDescent="0.2">
      <c r="D572" s="73"/>
      <c r="E572" s="73"/>
    </row>
    <row r="573" spans="4:5" x14ac:dyDescent="0.2">
      <c r="D573" s="73"/>
      <c r="E573" s="73"/>
    </row>
    <row r="574" spans="4:5" x14ac:dyDescent="0.2">
      <c r="D574" s="73"/>
      <c r="E574" s="73"/>
    </row>
    <row r="575" spans="4:5" x14ac:dyDescent="0.2">
      <c r="D575" s="73"/>
      <c r="E575" s="73"/>
    </row>
    <row r="576" spans="4:5" x14ac:dyDescent="0.2">
      <c r="D576" s="73"/>
      <c r="E576" s="73"/>
    </row>
    <row r="577" spans="4:5" x14ac:dyDescent="0.2">
      <c r="D577" s="73"/>
      <c r="E577" s="73"/>
    </row>
    <row r="578" spans="4:5" x14ac:dyDescent="0.2">
      <c r="D578" s="73"/>
      <c r="E578" s="73"/>
    </row>
    <row r="579" spans="4:5" x14ac:dyDescent="0.2">
      <c r="D579" s="73"/>
      <c r="E579" s="73"/>
    </row>
    <row r="580" spans="4:5" x14ac:dyDescent="0.2">
      <c r="D580" s="73"/>
      <c r="E580" s="73"/>
    </row>
    <row r="581" spans="4:5" x14ac:dyDescent="0.2">
      <c r="D581" s="73"/>
      <c r="E581" s="73"/>
    </row>
    <row r="582" spans="4:5" x14ac:dyDescent="0.2">
      <c r="D582" s="73"/>
      <c r="E582" s="73"/>
    </row>
    <row r="583" spans="4:5" x14ac:dyDescent="0.2">
      <c r="D583" s="73"/>
      <c r="E583" s="73"/>
    </row>
    <row r="584" spans="4:5" x14ac:dyDescent="0.2">
      <c r="D584" s="73"/>
      <c r="E584" s="73"/>
    </row>
    <row r="585" spans="4:5" x14ac:dyDescent="0.2">
      <c r="D585" s="73"/>
      <c r="E585" s="73"/>
    </row>
    <row r="586" spans="4:5" x14ac:dyDescent="0.2">
      <c r="D586" s="73"/>
      <c r="E586" s="73"/>
    </row>
    <row r="587" spans="4:5" x14ac:dyDescent="0.2">
      <c r="D587" s="73"/>
      <c r="E587" s="73"/>
    </row>
    <row r="588" spans="4:5" x14ac:dyDescent="0.2">
      <c r="D588" s="73"/>
      <c r="E588" s="73"/>
    </row>
    <row r="589" spans="4:5" x14ac:dyDescent="0.2">
      <c r="D589" s="73"/>
      <c r="E589" s="73"/>
    </row>
    <row r="590" spans="4:5" x14ac:dyDescent="0.2">
      <c r="D590" s="73"/>
      <c r="E590" s="73"/>
    </row>
    <row r="591" spans="4:5" x14ac:dyDescent="0.2">
      <c r="D591" s="73"/>
      <c r="E591" s="73"/>
    </row>
    <row r="592" spans="4:5" x14ac:dyDescent="0.2">
      <c r="D592" s="73"/>
      <c r="E592" s="73"/>
    </row>
    <row r="593" spans="4:5" x14ac:dyDescent="0.2">
      <c r="D593" s="73"/>
      <c r="E593" s="73"/>
    </row>
    <row r="594" spans="4:5" x14ac:dyDescent="0.2">
      <c r="D594" s="73"/>
      <c r="E594" s="73"/>
    </row>
    <row r="595" spans="4:5" x14ac:dyDescent="0.2">
      <c r="D595" s="73"/>
      <c r="E595" s="73"/>
    </row>
    <row r="596" spans="4:5" x14ac:dyDescent="0.2">
      <c r="D596" s="73"/>
      <c r="E596" s="73"/>
    </row>
    <row r="597" spans="4:5" x14ac:dyDescent="0.2">
      <c r="D597" s="73"/>
      <c r="E597" s="73"/>
    </row>
    <row r="598" spans="4:5" x14ac:dyDescent="0.2">
      <c r="D598" s="73"/>
      <c r="E598" s="73"/>
    </row>
    <row r="599" spans="4:5" x14ac:dyDescent="0.2">
      <c r="D599" s="73"/>
      <c r="E599" s="73"/>
    </row>
    <row r="600" spans="4:5" x14ac:dyDescent="0.2">
      <c r="D600" s="73"/>
      <c r="E600" s="73"/>
    </row>
    <row r="601" spans="4:5" x14ac:dyDescent="0.2">
      <c r="D601" s="73"/>
      <c r="E601" s="73"/>
    </row>
    <row r="602" spans="4:5" x14ac:dyDescent="0.2">
      <c r="D602" s="73"/>
      <c r="E602" s="73"/>
    </row>
    <row r="603" spans="4:5" x14ac:dyDescent="0.2">
      <c r="D603" s="73"/>
      <c r="E603" s="73"/>
    </row>
    <row r="604" spans="4:5" x14ac:dyDescent="0.2">
      <c r="D604" s="73"/>
      <c r="E604" s="73"/>
    </row>
    <row r="605" spans="4:5" x14ac:dyDescent="0.2">
      <c r="D605" s="73"/>
      <c r="E605" s="73"/>
    </row>
    <row r="606" spans="4:5" x14ac:dyDescent="0.2">
      <c r="D606" s="73"/>
      <c r="E606" s="73"/>
    </row>
    <row r="607" spans="4:5" x14ac:dyDescent="0.2">
      <c r="D607" s="73"/>
      <c r="E607" s="73"/>
    </row>
    <row r="608" spans="4:5" x14ac:dyDescent="0.2">
      <c r="D608" s="73"/>
      <c r="E608" s="73"/>
    </row>
    <row r="609" spans="4:5" x14ac:dyDescent="0.2">
      <c r="D609" s="73"/>
      <c r="E609" s="73"/>
    </row>
    <row r="610" spans="4:5" x14ac:dyDescent="0.2">
      <c r="D610" s="73"/>
      <c r="E610" s="73"/>
    </row>
    <row r="611" spans="4:5" x14ac:dyDescent="0.2">
      <c r="D611" s="73"/>
      <c r="E611" s="73"/>
    </row>
    <row r="612" spans="4:5" x14ac:dyDescent="0.2">
      <c r="D612" s="73"/>
      <c r="E612" s="73"/>
    </row>
    <row r="613" spans="4:5" x14ac:dyDescent="0.2">
      <c r="D613" s="73"/>
      <c r="E613" s="73"/>
    </row>
    <row r="614" spans="4:5" x14ac:dyDescent="0.2">
      <c r="D614" s="73"/>
      <c r="E614" s="73"/>
    </row>
    <row r="615" spans="4:5" x14ac:dyDescent="0.2">
      <c r="D615" s="73"/>
      <c r="E615" s="73"/>
    </row>
    <row r="616" spans="4:5" x14ac:dyDescent="0.2">
      <c r="D616" s="73"/>
      <c r="E616" s="73"/>
    </row>
    <row r="617" spans="4:5" x14ac:dyDescent="0.2">
      <c r="D617" s="73"/>
      <c r="E617" s="73"/>
    </row>
    <row r="618" spans="4:5" x14ac:dyDescent="0.2">
      <c r="D618" s="73"/>
      <c r="E618" s="73"/>
    </row>
    <row r="619" spans="4:5" x14ac:dyDescent="0.2">
      <c r="D619" s="73"/>
      <c r="E619" s="73"/>
    </row>
    <row r="620" spans="4:5" x14ac:dyDescent="0.2">
      <c r="D620" s="73"/>
      <c r="E620" s="73"/>
    </row>
    <row r="621" spans="4:5" x14ac:dyDescent="0.2">
      <c r="D621" s="73"/>
      <c r="E621" s="73"/>
    </row>
    <row r="622" spans="4:5" x14ac:dyDescent="0.2">
      <c r="D622" s="73"/>
      <c r="E622" s="73"/>
    </row>
    <row r="623" spans="4:5" x14ac:dyDescent="0.2">
      <c r="D623" s="73"/>
      <c r="E623" s="73"/>
    </row>
    <row r="624" spans="4:5" x14ac:dyDescent="0.2">
      <c r="D624" s="73"/>
      <c r="E624" s="73"/>
    </row>
    <row r="625" spans="4:5" x14ac:dyDescent="0.2">
      <c r="D625" s="73"/>
      <c r="E625" s="73"/>
    </row>
    <row r="626" spans="4:5" x14ac:dyDescent="0.2">
      <c r="D626" s="73"/>
      <c r="E626" s="73"/>
    </row>
    <row r="627" spans="4:5" x14ac:dyDescent="0.2">
      <c r="D627" s="73"/>
      <c r="E627" s="73"/>
    </row>
    <row r="628" spans="4:5" x14ac:dyDescent="0.2">
      <c r="D628" s="73"/>
      <c r="E628" s="73"/>
    </row>
    <row r="629" spans="4:5" x14ac:dyDescent="0.2">
      <c r="D629" s="73"/>
      <c r="E629" s="73"/>
    </row>
    <row r="630" spans="4:5" x14ac:dyDescent="0.2">
      <c r="D630" s="73"/>
      <c r="E630" s="73"/>
    </row>
    <row r="631" spans="4:5" x14ac:dyDescent="0.2">
      <c r="D631" s="73"/>
      <c r="E631" s="73"/>
    </row>
    <row r="632" spans="4:5" x14ac:dyDescent="0.2">
      <c r="D632" s="73"/>
      <c r="E632" s="73"/>
    </row>
    <row r="633" spans="4:5" x14ac:dyDescent="0.2">
      <c r="D633" s="73"/>
      <c r="E633" s="73"/>
    </row>
    <row r="634" spans="4:5" x14ac:dyDescent="0.2">
      <c r="D634" s="73"/>
      <c r="E634" s="73"/>
    </row>
    <row r="635" spans="4:5" x14ac:dyDescent="0.2">
      <c r="D635" s="73"/>
      <c r="E635" s="73"/>
    </row>
    <row r="636" spans="4:5" x14ac:dyDescent="0.2">
      <c r="D636" s="73"/>
      <c r="E636" s="73"/>
    </row>
    <row r="637" spans="4:5" x14ac:dyDescent="0.2">
      <c r="D637" s="73"/>
      <c r="E637" s="73"/>
    </row>
    <row r="638" spans="4:5" x14ac:dyDescent="0.2">
      <c r="D638" s="73"/>
      <c r="E638" s="73"/>
    </row>
    <row r="639" spans="4:5" x14ac:dyDescent="0.2">
      <c r="D639" s="73"/>
      <c r="E639" s="73"/>
    </row>
    <row r="640" spans="4:5" x14ac:dyDescent="0.2">
      <c r="D640" s="73"/>
      <c r="E640" s="73"/>
    </row>
    <row r="641" spans="4:5" x14ac:dyDescent="0.2">
      <c r="D641" s="73"/>
      <c r="E641" s="73"/>
    </row>
    <row r="642" spans="4:5" x14ac:dyDescent="0.2">
      <c r="D642" s="73"/>
      <c r="E642" s="73"/>
    </row>
    <row r="643" spans="4:5" x14ac:dyDescent="0.2">
      <c r="D643" s="73"/>
      <c r="E643" s="73"/>
    </row>
    <row r="644" spans="4:5" x14ac:dyDescent="0.2">
      <c r="D644" s="73"/>
      <c r="E644" s="73"/>
    </row>
    <row r="645" spans="4:5" x14ac:dyDescent="0.2">
      <c r="D645" s="73"/>
      <c r="E645" s="73"/>
    </row>
    <row r="646" spans="4:5" x14ac:dyDescent="0.2">
      <c r="D646" s="73"/>
      <c r="E646" s="73"/>
    </row>
    <row r="647" spans="4:5" x14ac:dyDescent="0.2">
      <c r="D647" s="73"/>
      <c r="E647" s="73"/>
    </row>
    <row r="648" spans="4:5" x14ac:dyDescent="0.2">
      <c r="D648" s="73"/>
      <c r="E648" s="73"/>
    </row>
    <row r="649" spans="4:5" x14ac:dyDescent="0.2">
      <c r="D649" s="73"/>
      <c r="E649" s="73"/>
    </row>
    <row r="650" spans="4:5" x14ac:dyDescent="0.2">
      <c r="D650" s="73"/>
      <c r="E650" s="73"/>
    </row>
    <row r="651" spans="4:5" x14ac:dyDescent="0.2">
      <c r="D651" s="73"/>
      <c r="E651" s="73"/>
    </row>
    <row r="652" spans="4:5" x14ac:dyDescent="0.2">
      <c r="D652" s="73"/>
      <c r="E652" s="73"/>
    </row>
    <row r="653" spans="4:5" x14ac:dyDescent="0.2">
      <c r="D653" s="73"/>
      <c r="E653" s="73"/>
    </row>
    <row r="654" spans="4:5" x14ac:dyDescent="0.2">
      <c r="D654" s="73"/>
      <c r="E654" s="73"/>
    </row>
    <row r="655" spans="4:5" x14ac:dyDescent="0.2">
      <c r="D655" s="73"/>
      <c r="E655" s="73"/>
    </row>
    <row r="656" spans="4:5" x14ac:dyDescent="0.2">
      <c r="D656" s="73"/>
      <c r="E656" s="73"/>
    </row>
    <row r="657" spans="4:5" x14ac:dyDescent="0.2">
      <c r="D657" s="73"/>
      <c r="E657" s="73"/>
    </row>
    <row r="658" spans="4:5" x14ac:dyDescent="0.2">
      <c r="D658" s="73"/>
      <c r="E658" s="73"/>
    </row>
    <row r="659" spans="4:5" x14ac:dyDescent="0.2">
      <c r="D659" s="73"/>
      <c r="E659" s="73"/>
    </row>
    <row r="660" spans="4:5" x14ac:dyDescent="0.2">
      <c r="D660" s="73"/>
      <c r="E660" s="73"/>
    </row>
    <row r="661" spans="4:5" x14ac:dyDescent="0.2">
      <c r="D661" s="73"/>
      <c r="E661" s="73"/>
    </row>
    <row r="662" spans="4:5" x14ac:dyDescent="0.2">
      <c r="D662" s="73"/>
      <c r="E662" s="73"/>
    </row>
    <row r="663" spans="4:5" x14ac:dyDescent="0.2">
      <c r="D663" s="73"/>
      <c r="E663" s="73"/>
    </row>
    <row r="664" spans="4:5" x14ac:dyDescent="0.2">
      <c r="D664" s="73"/>
      <c r="E664" s="73"/>
    </row>
    <row r="665" spans="4:5" x14ac:dyDescent="0.2">
      <c r="D665" s="73"/>
      <c r="E665" s="73"/>
    </row>
    <row r="666" spans="4:5" x14ac:dyDescent="0.2">
      <c r="D666" s="73"/>
      <c r="E666" s="73"/>
    </row>
    <row r="667" spans="4:5" x14ac:dyDescent="0.2">
      <c r="D667" s="73"/>
      <c r="E667" s="73"/>
    </row>
    <row r="668" spans="4:5" x14ac:dyDescent="0.2">
      <c r="D668" s="73"/>
      <c r="E668" s="73"/>
    </row>
    <row r="669" spans="4:5" x14ac:dyDescent="0.2">
      <c r="D669" s="73"/>
      <c r="E669" s="73"/>
    </row>
    <row r="670" spans="4:5" x14ac:dyDescent="0.2">
      <c r="D670" s="73"/>
      <c r="E670" s="73"/>
    </row>
    <row r="671" spans="4:5" x14ac:dyDescent="0.2">
      <c r="D671" s="73"/>
      <c r="E671" s="73"/>
    </row>
    <row r="672" spans="4:5" x14ac:dyDescent="0.2">
      <c r="D672" s="73"/>
      <c r="E672" s="73"/>
    </row>
    <row r="673" spans="4:5" x14ac:dyDescent="0.2">
      <c r="D673" s="73"/>
      <c r="E673" s="73"/>
    </row>
    <row r="674" spans="4:5" x14ac:dyDescent="0.2">
      <c r="D674" s="73"/>
      <c r="E674" s="73"/>
    </row>
    <row r="675" spans="4:5" x14ac:dyDescent="0.2">
      <c r="D675" s="73"/>
      <c r="E675" s="73"/>
    </row>
    <row r="676" spans="4:5" x14ac:dyDescent="0.2">
      <c r="D676" s="73"/>
      <c r="E676" s="73"/>
    </row>
    <row r="677" spans="4:5" x14ac:dyDescent="0.2">
      <c r="D677" s="73"/>
      <c r="E677" s="73"/>
    </row>
    <row r="678" spans="4:5" x14ac:dyDescent="0.2">
      <c r="D678" s="73"/>
      <c r="E678" s="73"/>
    </row>
    <row r="679" spans="4:5" x14ac:dyDescent="0.2">
      <c r="D679" s="73"/>
      <c r="E679" s="73"/>
    </row>
    <row r="680" spans="4:5" x14ac:dyDescent="0.2">
      <c r="D680" s="73"/>
      <c r="E680" s="73"/>
    </row>
    <row r="681" spans="4:5" x14ac:dyDescent="0.2">
      <c r="D681" s="73"/>
      <c r="E681" s="73"/>
    </row>
    <row r="682" spans="4:5" x14ac:dyDescent="0.2">
      <c r="D682" s="73"/>
      <c r="E682" s="73"/>
    </row>
    <row r="683" spans="4:5" x14ac:dyDescent="0.2">
      <c r="D683" s="73"/>
      <c r="E683" s="73"/>
    </row>
    <row r="684" spans="4:5" x14ac:dyDescent="0.2">
      <c r="D684" s="73"/>
      <c r="E684" s="73"/>
    </row>
    <row r="685" spans="4:5" x14ac:dyDescent="0.2">
      <c r="D685" s="73"/>
      <c r="E685" s="73"/>
    </row>
    <row r="686" spans="4:5" x14ac:dyDescent="0.2">
      <c r="D686" s="73"/>
      <c r="E686" s="73"/>
    </row>
    <row r="687" spans="4:5" x14ac:dyDescent="0.2">
      <c r="D687" s="73"/>
      <c r="E687" s="73"/>
    </row>
    <row r="688" spans="4:5" x14ac:dyDescent="0.2">
      <c r="D688" s="73"/>
      <c r="E688" s="73"/>
    </row>
    <row r="689" spans="4:5" x14ac:dyDescent="0.2">
      <c r="D689" s="73"/>
      <c r="E689" s="73"/>
    </row>
    <row r="690" spans="4:5" x14ac:dyDescent="0.2">
      <c r="D690" s="73"/>
      <c r="E690" s="73"/>
    </row>
    <row r="691" spans="4:5" x14ac:dyDescent="0.2">
      <c r="D691" s="73"/>
      <c r="E691" s="73"/>
    </row>
    <row r="692" spans="4:5" x14ac:dyDescent="0.2">
      <c r="D692" s="73"/>
      <c r="E692" s="73"/>
    </row>
    <row r="693" spans="4:5" x14ac:dyDescent="0.2">
      <c r="D693" s="73"/>
      <c r="E693" s="73"/>
    </row>
    <row r="694" spans="4:5" x14ac:dyDescent="0.2">
      <c r="D694" s="73"/>
      <c r="E694" s="73"/>
    </row>
    <row r="695" spans="4:5" x14ac:dyDescent="0.2">
      <c r="D695" s="73"/>
      <c r="E695" s="73"/>
    </row>
    <row r="696" spans="4:5" x14ac:dyDescent="0.2">
      <c r="D696" s="73"/>
      <c r="E696" s="73"/>
    </row>
    <row r="697" spans="4:5" x14ac:dyDescent="0.2">
      <c r="D697" s="73"/>
      <c r="E697" s="73"/>
    </row>
    <row r="698" spans="4:5" x14ac:dyDescent="0.2">
      <c r="D698" s="73"/>
      <c r="E698" s="73"/>
    </row>
    <row r="699" spans="4:5" x14ac:dyDescent="0.2">
      <c r="D699" s="73"/>
      <c r="E699" s="73"/>
    </row>
    <row r="700" spans="4:5" x14ac:dyDescent="0.2">
      <c r="D700" s="73"/>
      <c r="E700" s="73"/>
    </row>
    <row r="701" spans="4:5" x14ac:dyDescent="0.2">
      <c r="D701" s="73"/>
      <c r="E701" s="73"/>
    </row>
    <row r="702" spans="4:5" x14ac:dyDescent="0.2">
      <c r="D702" s="73"/>
      <c r="E702" s="73"/>
    </row>
    <row r="703" spans="4:5" x14ac:dyDescent="0.2">
      <c r="D703" s="73"/>
      <c r="E703" s="73"/>
    </row>
    <row r="704" spans="4:5" x14ac:dyDescent="0.2">
      <c r="D704" s="73"/>
      <c r="E704" s="73"/>
    </row>
    <row r="705" spans="4:5" x14ac:dyDescent="0.2">
      <c r="D705" s="73"/>
      <c r="E705" s="73"/>
    </row>
    <row r="706" spans="4:5" x14ac:dyDescent="0.2">
      <c r="D706" s="73"/>
      <c r="E706" s="73"/>
    </row>
    <row r="707" spans="4:5" x14ac:dyDescent="0.2">
      <c r="D707" s="73"/>
      <c r="E707" s="73"/>
    </row>
    <row r="708" spans="4:5" x14ac:dyDescent="0.2">
      <c r="D708" s="73"/>
      <c r="E708" s="73"/>
    </row>
    <row r="709" spans="4:5" x14ac:dyDescent="0.2">
      <c r="D709" s="73"/>
      <c r="E709" s="73"/>
    </row>
    <row r="710" spans="4:5" x14ac:dyDescent="0.2">
      <c r="D710" s="73"/>
      <c r="E710" s="73"/>
    </row>
    <row r="711" spans="4:5" x14ac:dyDescent="0.2">
      <c r="D711" s="73"/>
      <c r="E711" s="73"/>
    </row>
    <row r="712" spans="4:5" x14ac:dyDescent="0.2">
      <c r="D712" s="73"/>
      <c r="E712" s="73"/>
    </row>
    <row r="713" spans="4:5" x14ac:dyDescent="0.2">
      <c r="D713" s="73"/>
      <c r="E713" s="73"/>
    </row>
    <row r="714" spans="4:5" x14ac:dyDescent="0.2">
      <c r="D714" s="73"/>
      <c r="E714" s="73"/>
    </row>
    <row r="715" spans="4:5" x14ac:dyDescent="0.2">
      <c r="D715" s="73"/>
      <c r="E715" s="73"/>
    </row>
    <row r="716" spans="4:5" x14ac:dyDescent="0.2">
      <c r="D716" s="73"/>
      <c r="E716" s="73"/>
    </row>
    <row r="717" spans="4:5" x14ac:dyDescent="0.2">
      <c r="D717" s="73"/>
      <c r="E717" s="73"/>
    </row>
    <row r="718" spans="4:5" x14ac:dyDescent="0.2">
      <c r="D718" s="73"/>
      <c r="E718" s="73"/>
    </row>
    <row r="719" spans="4:5" x14ac:dyDescent="0.2">
      <c r="D719" s="73"/>
      <c r="E719" s="73"/>
    </row>
    <row r="720" spans="4:5" x14ac:dyDescent="0.2">
      <c r="D720" s="73"/>
      <c r="E720" s="73"/>
    </row>
    <row r="721" spans="4:5" x14ac:dyDescent="0.2">
      <c r="D721" s="73"/>
      <c r="E721" s="73"/>
    </row>
    <row r="722" spans="4:5" x14ac:dyDescent="0.2">
      <c r="D722" s="73"/>
      <c r="E722" s="73"/>
    </row>
    <row r="723" spans="4:5" x14ac:dyDescent="0.2">
      <c r="D723" s="73"/>
      <c r="E723" s="73"/>
    </row>
    <row r="724" spans="4:5" x14ac:dyDescent="0.2">
      <c r="D724" s="73"/>
      <c r="E724" s="73"/>
    </row>
    <row r="725" spans="4:5" x14ac:dyDescent="0.2">
      <c r="D725" s="73"/>
      <c r="E725" s="73"/>
    </row>
    <row r="726" spans="4:5" x14ac:dyDescent="0.2">
      <c r="D726" s="73"/>
      <c r="E726" s="73"/>
    </row>
    <row r="727" spans="4:5" x14ac:dyDescent="0.2">
      <c r="D727" s="73"/>
      <c r="E727" s="73"/>
    </row>
    <row r="728" spans="4:5" x14ac:dyDescent="0.2">
      <c r="D728" s="73"/>
      <c r="E728" s="73"/>
    </row>
    <row r="729" spans="4:5" x14ac:dyDescent="0.2">
      <c r="D729" s="73"/>
      <c r="E729" s="73"/>
    </row>
    <row r="730" spans="4:5" x14ac:dyDescent="0.2">
      <c r="D730" s="73"/>
      <c r="E730" s="73"/>
    </row>
    <row r="731" spans="4:5" x14ac:dyDescent="0.2">
      <c r="D731" s="73"/>
      <c r="E731" s="73"/>
    </row>
    <row r="732" spans="4:5" x14ac:dyDescent="0.2">
      <c r="D732" s="73"/>
      <c r="E732" s="73"/>
    </row>
    <row r="733" spans="4:5" x14ac:dyDescent="0.2">
      <c r="D733" s="73"/>
      <c r="E733" s="73"/>
    </row>
    <row r="734" spans="4:5" x14ac:dyDescent="0.2">
      <c r="D734" s="73"/>
      <c r="E734" s="73"/>
    </row>
    <row r="735" spans="4:5" x14ac:dyDescent="0.2">
      <c r="D735" s="73"/>
      <c r="E735" s="73"/>
    </row>
    <row r="736" spans="4:5" x14ac:dyDescent="0.2">
      <c r="D736" s="73"/>
      <c r="E736" s="73"/>
    </row>
    <row r="737" spans="4:5" x14ac:dyDescent="0.2">
      <c r="D737" s="73"/>
      <c r="E737" s="73"/>
    </row>
    <row r="738" spans="4:5" x14ac:dyDescent="0.2">
      <c r="D738" s="73"/>
      <c r="E738" s="73"/>
    </row>
    <row r="739" spans="4:5" x14ac:dyDescent="0.2">
      <c r="D739" s="73"/>
      <c r="E739" s="73"/>
    </row>
    <row r="740" spans="4:5" x14ac:dyDescent="0.2">
      <c r="D740" s="73"/>
      <c r="E740" s="73"/>
    </row>
    <row r="741" spans="4:5" x14ac:dyDescent="0.2">
      <c r="D741" s="73"/>
      <c r="E741" s="73"/>
    </row>
    <row r="742" spans="4:5" x14ac:dyDescent="0.2">
      <c r="D742" s="73"/>
      <c r="E742" s="73"/>
    </row>
    <row r="743" spans="4:5" x14ac:dyDescent="0.2">
      <c r="D743" s="73"/>
      <c r="E743" s="73"/>
    </row>
    <row r="744" spans="4:5" x14ac:dyDescent="0.2">
      <c r="D744" s="73"/>
      <c r="E744" s="73"/>
    </row>
    <row r="745" spans="4:5" x14ac:dyDescent="0.2">
      <c r="D745" s="73"/>
      <c r="E745" s="73"/>
    </row>
    <row r="746" spans="4:5" x14ac:dyDescent="0.2">
      <c r="D746" s="73"/>
      <c r="E746" s="73"/>
    </row>
    <row r="747" spans="4:5" x14ac:dyDescent="0.2">
      <c r="D747" s="73"/>
      <c r="E747" s="73"/>
    </row>
    <row r="748" spans="4:5" x14ac:dyDescent="0.2">
      <c r="D748" s="73"/>
      <c r="E748" s="73"/>
    </row>
    <row r="749" spans="4:5" x14ac:dyDescent="0.2">
      <c r="D749" s="73"/>
      <c r="E749" s="73"/>
    </row>
    <row r="750" spans="4:5" x14ac:dyDescent="0.2">
      <c r="D750" s="73"/>
      <c r="E750" s="73"/>
    </row>
    <row r="751" spans="4:5" x14ac:dyDescent="0.2">
      <c r="D751" s="73"/>
      <c r="E751" s="73"/>
    </row>
    <row r="752" spans="4:5" x14ac:dyDescent="0.2">
      <c r="D752" s="73"/>
      <c r="E752" s="73"/>
    </row>
    <row r="753" spans="4:5" x14ac:dyDescent="0.2">
      <c r="D753" s="73"/>
      <c r="E753" s="73"/>
    </row>
    <row r="754" spans="4:5" x14ac:dyDescent="0.2">
      <c r="D754" s="73"/>
      <c r="E754" s="73"/>
    </row>
    <row r="755" spans="4:5" x14ac:dyDescent="0.2">
      <c r="D755" s="73"/>
      <c r="E755" s="73"/>
    </row>
    <row r="756" spans="4:5" x14ac:dyDescent="0.2">
      <c r="D756" s="73"/>
      <c r="E756" s="73"/>
    </row>
    <row r="757" spans="4:5" x14ac:dyDescent="0.2">
      <c r="D757" s="73"/>
      <c r="E757" s="73"/>
    </row>
    <row r="758" spans="4:5" x14ac:dyDescent="0.2">
      <c r="D758" s="73"/>
      <c r="E758" s="73"/>
    </row>
    <row r="759" spans="4:5" x14ac:dyDescent="0.2">
      <c r="D759" s="73"/>
      <c r="E759" s="73"/>
    </row>
    <row r="760" spans="4:5" x14ac:dyDescent="0.2">
      <c r="D760" s="73"/>
      <c r="E760" s="73"/>
    </row>
    <row r="761" spans="4:5" x14ac:dyDescent="0.2">
      <c r="D761" s="73"/>
      <c r="E761" s="73"/>
    </row>
    <row r="762" spans="4:5" x14ac:dyDescent="0.2">
      <c r="D762" s="73"/>
      <c r="E762" s="73"/>
    </row>
    <row r="763" spans="4:5" x14ac:dyDescent="0.2">
      <c r="D763" s="73"/>
      <c r="E763" s="73"/>
    </row>
    <row r="764" spans="4:5" x14ac:dyDescent="0.2">
      <c r="D764" s="73"/>
      <c r="E764" s="73"/>
    </row>
    <row r="765" spans="4:5" x14ac:dyDescent="0.2">
      <c r="D765" s="73"/>
      <c r="E765" s="73"/>
    </row>
    <row r="766" spans="4:5" x14ac:dyDescent="0.2">
      <c r="D766" s="73"/>
      <c r="E766" s="73"/>
    </row>
    <row r="767" spans="4:5" x14ac:dyDescent="0.2">
      <c r="D767" s="73"/>
      <c r="E767" s="73"/>
    </row>
    <row r="768" spans="4:5" x14ac:dyDescent="0.2">
      <c r="D768" s="73"/>
      <c r="E768" s="73"/>
    </row>
    <row r="769" spans="4:5" x14ac:dyDescent="0.2">
      <c r="D769" s="73"/>
      <c r="E769" s="73"/>
    </row>
    <row r="770" spans="4:5" x14ac:dyDescent="0.2">
      <c r="D770" s="73"/>
      <c r="E770" s="73"/>
    </row>
    <row r="771" spans="4:5" x14ac:dyDescent="0.2">
      <c r="D771" s="73"/>
      <c r="E771" s="73"/>
    </row>
    <row r="772" spans="4:5" x14ac:dyDescent="0.2">
      <c r="D772" s="73"/>
      <c r="E772" s="73"/>
    </row>
    <row r="773" spans="4:5" x14ac:dyDescent="0.2">
      <c r="D773" s="73"/>
      <c r="E773" s="73"/>
    </row>
    <row r="774" spans="4:5" x14ac:dyDescent="0.2">
      <c r="D774" s="73"/>
      <c r="E774" s="73"/>
    </row>
    <row r="775" spans="4:5" x14ac:dyDescent="0.2">
      <c r="D775" s="73"/>
      <c r="E775" s="73"/>
    </row>
    <row r="776" spans="4:5" x14ac:dyDescent="0.2">
      <c r="D776" s="73"/>
      <c r="E776" s="73"/>
    </row>
    <row r="777" spans="4:5" x14ac:dyDescent="0.2">
      <c r="D777" s="73"/>
      <c r="E777" s="73"/>
    </row>
    <row r="778" spans="4:5" x14ac:dyDescent="0.2">
      <c r="D778" s="73"/>
      <c r="E778" s="73"/>
    </row>
    <row r="779" spans="4:5" x14ac:dyDescent="0.2">
      <c r="D779" s="73"/>
      <c r="E779" s="73"/>
    </row>
    <row r="780" spans="4:5" x14ac:dyDescent="0.2">
      <c r="D780" s="73"/>
      <c r="E780" s="73"/>
    </row>
    <row r="781" spans="4:5" x14ac:dyDescent="0.2">
      <c r="D781" s="73"/>
      <c r="E781" s="73"/>
    </row>
    <row r="782" spans="4:5" x14ac:dyDescent="0.2">
      <c r="D782" s="73"/>
      <c r="E782" s="73"/>
    </row>
    <row r="783" spans="4:5" x14ac:dyDescent="0.2">
      <c r="D783" s="73"/>
      <c r="E783" s="73"/>
    </row>
    <row r="784" spans="4:5" x14ac:dyDescent="0.2">
      <c r="D784" s="73"/>
      <c r="E784" s="73"/>
    </row>
    <row r="785" spans="4:5" x14ac:dyDescent="0.2">
      <c r="D785" s="73"/>
      <c r="E785" s="73"/>
    </row>
    <row r="786" spans="4:5" x14ac:dyDescent="0.2">
      <c r="D786" s="73"/>
      <c r="E786" s="73"/>
    </row>
    <row r="787" spans="4:5" x14ac:dyDescent="0.2">
      <c r="D787" s="73"/>
      <c r="E787" s="73"/>
    </row>
    <row r="788" spans="4:5" x14ac:dyDescent="0.2">
      <c r="D788" s="73"/>
      <c r="E788" s="73"/>
    </row>
    <row r="789" spans="4:5" x14ac:dyDescent="0.2">
      <c r="D789" s="73"/>
      <c r="E789" s="73"/>
    </row>
    <row r="790" spans="4:5" x14ac:dyDescent="0.2">
      <c r="D790" s="73"/>
      <c r="E790" s="73"/>
    </row>
    <row r="791" spans="4:5" x14ac:dyDescent="0.2">
      <c r="D791" s="73"/>
      <c r="E791" s="73"/>
    </row>
    <row r="792" spans="4:5" x14ac:dyDescent="0.2">
      <c r="D792" s="73"/>
      <c r="E792" s="73"/>
    </row>
    <row r="793" spans="4:5" x14ac:dyDescent="0.2">
      <c r="D793" s="73"/>
      <c r="E793" s="73"/>
    </row>
    <row r="794" spans="4:5" x14ac:dyDescent="0.2">
      <c r="D794" s="73"/>
      <c r="E794" s="73"/>
    </row>
    <row r="795" spans="4:5" x14ac:dyDescent="0.2">
      <c r="D795" s="73"/>
      <c r="E795" s="73"/>
    </row>
    <row r="796" spans="4:5" x14ac:dyDescent="0.2">
      <c r="D796" s="73"/>
      <c r="E796" s="73"/>
    </row>
    <row r="797" spans="4:5" x14ac:dyDescent="0.2">
      <c r="D797" s="73"/>
      <c r="E797" s="73"/>
    </row>
    <row r="798" spans="4:5" x14ac:dyDescent="0.2">
      <c r="D798" s="73"/>
      <c r="E798" s="73"/>
    </row>
    <row r="799" spans="4:5" x14ac:dyDescent="0.2">
      <c r="D799" s="73"/>
      <c r="E799" s="73"/>
    </row>
    <row r="800" spans="4:5" x14ac:dyDescent="0.2">
      <c r="D800" s="73"/>
      <c r="E800" s="73"/>
    </row>
    <row r="801" spans="4:5" x14ac:dyDescent="0.2">
      <c r="D801" s="73"/>
      <c r="E801" s="73"/>
    </row>
    <row r="802" spans="4:5" x14ac:dyDescent="0.2">
      <c r="D802" s="73"/>
      <c r="E802" s="73"/>
    </row>
    <row r="803" spans="4:5" x14ac:dyDescent="0.2">
      <c r="D803" s="73"/>
      <c r="E803" s="73"/>
    </row>
    <row r="804" spans="4:5" x14ac:dyDescent="0.2">
      <c r="D804" s="73"/>
      <c r="E804" s="73"/>
    </row>
    <row r="805" spans="4:5" x14ac:dyDescent="0.2">
      <c r="D805" s="73"/>
      <c r="E805" s="73"/>
    </row>
    <row r="806" spans="4:5" x14ac:dyDescent="0.2">
      <c r="D806" s="73"/>
      <c r="E806" s="73"/>
    </row>
    <row r="807" spans="4:5" x14ac:dyDescent="0.2">
      <c r="D807" s="73"/>
      <c r="E807" s="73"/>
    </row>
    <row r="808" spans="4:5" x14ac:dyDescent="0.2">
      <c r="D808" s="73"/>
      <c r="E808" s="73"/>
    </row>
    <row r="809" spans="4:5" x14ac:dyDescent="0.2">
      <c r="D809" s="73"/>
      <c r="E809" s="73"/>
    </row>
    <row r="810" spans="4:5" x14ac:dyDescent="0.2">
      <c r="D810" s="73"/>
      <c r="E810" s="73"/>
    </row>
    <row r="811" spans="4:5" x14ac:dyDescent="0.2">
      <c r="D811" s="73"/>
      <c r="E811" s="73"/>
    </row>
    <row r="812" spans="4:5" x14ac:dyDescent="0.2">
      <c r="D812" s="73"/>
      <c r="E812" s="73"/>
    </row>
    <row r="813" spans="4:5" x14ac:dyDescent="0.2">
      <c r="D813" s="73"/>
      <c r="E813" s="73"/>
    </row>
    <row r="814" spans="4:5" x14ac:dyDescent="0.2">
      <c r="D814" s="73"/>
      <c r="E814" s="73"/>
    </row>
    <row r="815" spans="4:5" x14ac:dyDescent="0.2">
      <c r="D815" s="73"/>
      <c r="E815" s="73"/>
    </row>
    <row r="816" spans="4:5" x14ac:dyDescent="0.2">
      <c r="D816" s="73"/>
      <c r="E816" s="73"/>
    </row>
    <row r="817" spans="4:5" x14ac:dyDescent="0.2">
      <c r="D817" s="73"/>
      <c r="E817" s="73"/>
    </row>
    <row r="818" spans="4:5" x14ac:dyDescent="0.2">
      <c r="D818" s="73"/>
      <c r="E818" s="73"/>
    </row>
    <row r="819" spans="4:5" x14ac:dyDescent="0.2">
      <c r="D819" s="73"/>
      <c r="E819" s="73"/>
    </row>
    <row r="820" spans="4:5" x14ac:dyDescent="0.2">
      <c r="D820" s="73"/>
      <c r="E820" s="73"/>
    </row>
    <row r="821" spans="4:5" x14ac:dyDescent="0.2">
      <c r="D821" s="73"/>
      <c r="E821" s="73"/>
    </row>
    <row r="822" spans="4:5" x14ac:dyDescent="0.2">
      <c r="D822" s="73"/>
      <c r="E822" s="73"/>
    </row>
    <row r="823" spans="4:5" x14ac:dyDescent="0.2">
      <c r="D823" s="73"/>
      <c r="E823" s="73"/>
    </row>
    <row r="824" spans="4:5" x14ac:dyDescent="0.2">
      <c r="D824" s="73"/>
      <c r="E824" s="73"/>
    </row>
    <row r="825" spans="4:5" x14ac:dyDescent="0.2">
      <c r="D825" s="73"/>
      <c r="E825" s="73"/>
    </row>
    <row r="826" spans="4:5" x14ac:dyDescent="0.2">
      <c r="D826" s="73"/>
      <c r="E826" s="73"/>
    </row>
    <row r="827" spans="4:5" x14ac:dyDescent="0.2">
      <c r="D827" s="73"/>
      <c r="E827" s="73"/>
    </row>
    <row r="828" spans="4:5" x14ac:dyDescent="0.2">
      <c r="D828" s="73"/>
      <c r="E828" s="73"/>
    </row>
    <row r="829" spans="4:5" x14ac:dyDescent="0.2">
      <c r="D829" s="73"/>
      <c r="E829" s="73"/>
    </row>
    <row r="830" spans="4:5" x14ac:dyDescent="0.2">
      <c r="D830" s="73"/>
      <c r="E830" s="73"/>
    </row>
    <row r="831" spans="4:5" x14ac:dyDescent="0.2">
      <c r="D831" s="73"/>
      <c r="E831" s="73"/>
    </row>
    <row r="832" spans="4:5" x14ac:dyDescent="0.2">
      <c r="D832" s="73"/>
      <c r="E832" s="73"/>
    </row>
    <row r="833" spans="4:5" x14ac:dyDescent="0.2">
      <c r="D833" s="73"/>
      <c r="E833" s="73"/>
    </row>
    <row r="834" spans="4:5" x14ac:dyDescent="0.2">
      <c r="D834" s="73"/>
      <c r="E834" s="73"/>
    </row>
    <row r="835" spans="4:5" x14ac:dyDescent="0.2">
      <c r="D835" s="73"/>
      <c r="E835" s="73"/>
    </row>
    <row r="836" spans="4:5" x14ac:dyDescent="0.2">
      <c r="D836" s="73"/>
      <c r="E836" s="73"/>
    </row>
    <row r="837" spans="4:5" x14ac:dyDescent="0.2">
      <c r="D837" s="73"/>
      <c r="E837" s="73"/>
    </row>
    <row r="838" spans="4:5" x14ac:dyDescent="0.2">
      <c r="D838" s="73"/>
      <c r="E838" s="73"/>
    </row>
    <row r="839" spans="4:5" x14ac:dyDescent="0.2">
      <c r="D839" s="73"/>
      <c r="E839" s="73"/>
    </row>
    <row r="840" spans="4:5" x14ac:dyDescent="0.2">
      <c r="D840" s="73"/>
      <c r="E840" s="73"/>
    </row>
    <row r="841" spans="4:5" x14ac:dyDescent="0.2">
      <c r="D841" s="73"/>
      <c r="E841" s="73"/>
    </row>
    <row r="842" spans="4:5" x14ac:dyDescent="0.2">
      <c r="D842" s="73"/>
      <c r="E842" s="73"/>
    </row>
    <row r="843" spans="4:5" x14ac:dyDescent="0.2">
      <c r="D843" s="73"/>
      <c r="E843" s="73"/>
    </row>
    <row r="844" spans="4:5" x14ac:dyDescent="0.2">
      <c r="D844" s="73"/>
      <c r="E844" s="73"/>
    </row>
    <row r="845" spans="4:5" x14ac:dyDescent="0.2">
      <c r="D845" s="73"/>
      <c r="E845" s="73"/>
    </row>
    <row r="846" spans="4:5" x14ac:dyDescent="0.2">
      <c r="D846" s="73"/>
      <c r="E846" s="73"/>
    </row>
    <row r="847" spans="4:5" x14ac:dyDescent="0.2">
      <c r="D847" s="73"/>
      <c r="E847" s="73"/>
    </row>
    <row r="848" spans="4:5" x14ac:dyDescent="0.2">
      <c r="D848" s="73"/>
      <c r="E848" s="73"/>
    </row>
    <row r="849" spans="4:5" x14ac:dyDescent="0.2">
      <c r="D849" s="73"/>
      <c r="E849" s="73"/>
    </row>
    <row r="850" spans="4:5" x14ac:dyDescent="0.2">
      <c r="D850" s="73"/>
      <c r="E850" s="73"/>
    </row>
    <row r="851" spans="4:5" x14ac:dyDescent="0.2">
      <c r="D851" s="73"/>
      <c r="E851" s="73"/>
    </row>
    <row r="852" spans="4:5" x14ac:dyDescent="0.2">
      <c r="D852" s="73"/>
      <c r="E852" s="73"/>
    </row>
    <row r="853" spans="4:5" x14ac:dyDescent="0.2">
      <c r="D853" s="73"/>
      <c r="E853" s="73"/>
    </row>
    <row r="854" spans="4:5" x14ac:dyDescent="0.2">
      <c r="D854" s="73"/>
      <c r="E854" s="73"/>
    </row>
    <row r="855" spans="4:5" x14ac:dyDescent="0.2">
      <c r="D855" s="73"/>
      <c r="E855" s="73"/>
    </row>
    <row r="856" spans="4:5" x14ac:dyDescent="0.2">
      <c r="D856" s="73"/>
      <c r="E856" s="73"/>
    </row>
    <row r="857" spans="4:5" x14ac:dyDescent="0.2">
      <c r="D857" s="73"/>
      <c r="E857" s="73"/>
    </row>
    <row r="858" spans="4:5" x14ac:dyDescent="0.2">
      <c r="D858" s="73"/>
      <c r="E858" s="73"/>
    </row>
    <row r="859" spans="4:5" x14ac:dyDescent="0.2">
      <c r="D859" s="73"/>
      <c r="E859" s="73"/>
    </row>
    <row r="860" spans="4:5" x14ac:dyDescent="0.2">
      <c r="D860" s="73"/>
      <c r="E860" s="73"/>
    </row>
    <row r="861" spans="4:5" x14ac:dyDescent="0.2">
      <c r="D861" s="73"/>
      <c r="E861" s="73"/>
    </row>
    <row r="862" spans="4:5" x14ac:dyDescent="0.2">
      <c r="D862" s="73"/>
      <c r="E862" s="73"/>
    </row>
    <row r="863" spans="4:5" x14ac:dyDescent="0.2">
      <c r="D863" s="73"/>
      <c r="E863" s="73"/>
    </row>
    <row r="864" spans="4:5" x14ac:dyDescent="0.2">
      <c r="D864" s="73"/>
      <c r="E864" s="73"/>
    </row>
    <row r="865" spans="4:5" x14ac:dyDescent="0.2">
      <c r="D865" s="73"/>
      <c r="E865" s="73"/>
    </row>
    <row r="866" spans="4:5" x14ac:dyDescent="0.2">
      <c r="D866" s="73"/>
      <c r="E866" s="73"/>
    </row>
    <row r="867" spans="4:5" x14ac:dyDescent="0.2">
      <c r="D867" s="73"/>
      <c r="E867" s="73"/>
    </row>
    <row r="868" spans="4:5" x14ac:dyDescent="0.2">
      <c r="D868" s="73"/>
      <c r="E868" s="73"/>
    </row>
    <row r="869" spans="4:5" x14ac:dyDescent="0.2">
      <c r="D869" s="73"/>
      <c r="E869" s="73"/>
    </row>
    <row r="870" spans="4:5" x14ac:dyDescent="0.2">
      <c r="D870" s="73"/>
      <c r="E870" s="73"/>
    </row>
    <row r="871" spans="4:5" x14ac:dyDescent="0.2">
      <c r="D871" s="73"/>
      <c r="E871" s="73"/>
    </row>
    <row r="872" spans="4:5" x14ac:dyDescent="0.2">
      <c r="D872" s="73"/>
      <c r="E872" s="73"/>
    </row>
    <row r="873" spans="4:5" x14ac:dyDescent="0.2">
      <c r="D873" s="73"/>
      <c r="E873" s="73"/>
    </row>
    <row r="874" spans="4:5" x14ac:dyDescent="0.2">
      <c r="D874" s="73"/>
      <c r="E874" s="73"/>
    </row>
    <row r="875" spans="4:5" x14ac:dyDescent="0.2">
      <c r="D875" s="73"/>
      <c r="E875" s="73"/>
    </row>
    <row r="876" spans="4:5" x14ac:dyDescent="0.2">
      <c r="D876" s="73"/>
      <c r="E876" s="73"/>
    </row>
    <row r="877" spans="4:5" x14ac:dyDescent="0.2">
      <c r="D877" s="73"/>
      <c r="E877" s="73"/>
    </row>
    <row r="878" spans="4:5" x14ac:dyDescent="0.2">
      <c r="D878" s="73"/>
      <c r="E878" s="73"/>
    </row>
    <row r="879" spans="4:5" x14ac:dyDescent="0.2">
      <c r="D879" s="73"/>
      <c r="E879" s="73"/>
    </row>
    <row r="880" spans="4:5" x14ac:dyDescent="0.2">
      <c r="D880" s="73"/>
      <c r="E880" s="73"/>
    </row>
    <row r="881" spans="4:5" x14ac:dyDescent="0.2">
      <c r="D881" s="73"/>
      <c r="E881" s="73"/>
    </row>
    <row r="882" spans="4:5" x14ac:dyDescent="0.2">
      <c r="D882" s="73"/>
      <c r="E882" s="73"/>
    </row>
    <row r="883" spans="4:5" x14ac:dyDescent="0.2">
      <c r="D883" s="73"/>
      <c r="E883" s="73"/>
    </row>
    <row r="884" spans="4:5" x14ac:dyDescent="0.2">
      <c r="D884" s="73"/>
      <c r="E884" s="73"/>
    </row>
    <row r="885" spans="4:5" x14ac:dyDescent="0.2">
      <c r="D885" s="73"/>
      <c r="E885" s="73"/>
    </row>
    <row r="886" spans="4:5" x14ac:dyDescent="0.2">
      <c r="D886" s="73"/>
      <c r="E886" s="73"/>
    </row>
    <row r="887" spans="4:5" x14ac:dyDescent="0.2">
      <c r="D887" s="73"/>
      <c r="E887" s="73"/>
    </row>
    <row r="888" spans="4:5" x14ac:dyDescent="0.2">
      <c r="D888" s="73"/>
      <c r="E888" s="73"/>
    </row>
    <row r="889" spans="4:5" x14ac:dyDescent="0.2">
      <c r="D889" s="73"/>
      <c r="E889" s="73"/>
    </row>
    <row r="890" spans="4:5" x14ac:dyDescent="0.2">
      <c r="D890" s="73"/>
      <c r="E890" s="73"/>
    </row>
    <row r="891" spans="4:5" x14ac:dyDescent="0.2">
      <c r="D891" s="73"/>
      <c r="E891" s="73"/>
    </row>
    <row r="892" spans="4:5" x14ac:dyDescent="0.2">
      <c r="D892" s="73"/>
      <c r="E892" s="73"/>
    </row>
    <row r="893" spans="4:5" x14ac:dyDescent="0.2">
      <c r="D893" s="73"/>
      <c r="E893" s="73"/>
    </row>
    <row r="894" spans="4:5" x14ac:dyDescent="0.2">
      <c r="D894" s="73"/>
      <c r="E894" s="73"/>
    </row>
    <row r="895" spans="4:5" x14ac:dyDescent="0.2">
      <c r="D895" s="73"/>
      <c r="E895" s="73"/>
    </row>
    <row r="896" spans="4:5" x14ac:dyDescent="0.2">
      <c r="D896" s="73"/>
      <c r="E896" s="73"/>
    </row>
    <row r="897" spans="4:5" x14ac:dyDescent="0.2">
      <c r="D897" s="73"/>
      <c r="E897" s="73"/>
    </row>
    <row r="898" spans="4:5" x14ac:dyDescent="0.2">
      <c r="D898" s="73"/>
      <c r="E898" s="73"/>
    </row>
    <row r="899" spans="4:5" x14ac:dyDescent="0.2">
      <c r="D899" s="73"/>
      <c r="E899" s="73"/>
    </row>
    <row r="900" spans="4:5" x14ac:dyDescent="0.2">
      <c r="D900" s="73"/>
      <c r="E900" s="73"/>
    </row>
    <row r="901" spans="4:5" x14ac:dyDescent="0.2">
      <c r="D901" s="73"/>
      <c r="E901" s="73"/>
    </row>
    <row r="902" spans="4:5" x14ac:dyDescent="0.2">
      <c r="D902" s="73"/>
      <c r="E902" s="73"/>
    </row>
    <row r="903" spans="4:5" x14ac:dyDescent="0.2">
      <c r="D903" s="73"/>
      <c r="E903" s="73"/>
    </row>
    <row r="904" spans="4:5" x14ac:dyDescent="0.2">
      <c r="D904" s="73"/>
      <c r="E904" s="73"/>
    </row>
    <row r="905" spans="4:5" x14ac:dyDescent="0.2">
      <c r="D905" s="73"/>
      <c r="E905" s="73"/>
    </row>
    <row r="906" spans="4:5" x14ac:dyDescent="0.2">
      <c r="D906" s="73"/>
      <c r="E906" s="73"/>
    </row>
    <row r="907" spans="4:5" x14ac:dyDescent="0.2">
      <c r="D907" s="73"/>
      <c r="E907" s="73"/>
    </row>
    <row r="908" spans="4:5" x14ac:dyDescent="0.2">
      <c r="D908" s="73"/>
      <c r="E908" s="73"/>
    </row>
    <row r="909" spans="4:5" x14ac:dyDescent="0.2">
      <c r="D909" s="73"/>
      <c r="E909" s="73"/>
    </row>
    <row r="910" spans="4:5" x14ac:dyDescent="0.2">
      <c r="D910" s="73"/>
      <c r="E910" s="73"/>
    </row>
    <row r="911" spans="4:5" x14ac:dyDescent="0.2">
      <c r="D911" s="73"/>
      <c r="E911" s="73"/>
    </row>
    <row r="912" spans="4:5" x14ac:dyDescent="0.2">
      <c r="D912" s="73"/>
      <c r="E912" s="73"/>
    </row>
    <row r="913" spans="4:5" x14ac:dyDescent="0.2">
      <c r="D913" s="73"/>
      <c r="E913" s="73"/>
    </row>
    <row r="914" spans="4:5" x14ac:dyDescent="0.2">
      <c r="D914" s="73"/>
      <c r="E914" s="73"/>
    </row>
    <row r="915" spans="4:5" x14ac:dyDescent="0.2">
      <c r="D915" s="73"/>
      <c r="E915" s="73"/>
    </row>
    <row r="916" spans="4:5" x14ac:dyDescent="0.2">
      <c r="D916" s="73"/>
      <c r="E916" s="73"/>
    </row>
    <row r="917" spans="4:5" x14ac:dyDescent="0.2">
      <c r="D917" s="73"/>
      <c r="E917" s="73"/>
    </row>
    <row r="918" spans="4:5" x14ac:dyDescent="0.2">
      <c r="D918" s="73"/>
      <c r="E918" s="73"/>
    </row>
    <row r="919" spans="4:5" x14ac:dyDescent="0.2">
      <c r="D919" s="73"/>
      <c r="E919" s="73"/>
    </row>
    <row r="920" spans="4:5" x14ac:dyDescent="0.2">
      <c r="D920" s="73"/>
      <c r="E920" s="73"/>
    </row>
    <row r="921" spans="4:5" x14ac:dyDescent="0.2">
      <c r="D921" s="73"/>
      <c r="E921" s="73"/>
    </row>
    <row r="922" spans="4:5" x14ac:dyDescent="0.2">
      <c r="D922" s="73"/>
      <c r="E922" s="73"/>
    </row>
    <row r="923" spans="4:5" x14ac:dyDescent="0.2">
      <c r="D923" s="73"/>
      <c r="E923" s="73"/>
    </row>
    <row r="924" spans="4:5" x14ac:dyDescent="0.2">
      <c r="D924" s="73"/>
      <c r="E924" s="73"/>
    </row>
    <row r="925" spans="4:5" x14ac:dyDescent="0.2">
      <c r="D925" s="73"/>
      <c r="E925" s="73"/>
    </row>
    <row r="926" spans="4:5" x14ac:dyDescent="0.2">
      <c r="D926" s="73"/>
      <c r="E926" s="73"/>
    </row>
    <row r="927" spans="4:5" x14ac:dyDescent="0.2">
      <c r="D927" s="73"/>
      <c r="E927" s="73"/>
    </row>
    <row r="928" spans="4:5" x14ac:dyDescent="0.2">
      <c r="D928" s="73"/>
      <c r="E928" s="73"/>
    </row>
    <row r="929" spans="4:5" x14ac:dyDescent="0.2">
      <c r="D929" s="73"/>
      <c r="E929" s="73"/>
    </row>
    <row r="930" spans="4:5" x14ac:dyDescent="0.2">
      <c r="D930" s="73"/>
      <c r="E930" s="73"/>
    </row>
    <row r="931" spans="4:5" x14ac:dyDescent="0.2">
      <c r="D931" s="73"/>
      <c r="E931" s="73"/>
    </row>
    <row r="932" spans="4:5" x14ac:dyDescent="0.2">
      <c r="D932" s="73"/>
      <c r="E932" s="73"/>
    </row>
    <row r="933" spans="4:5" x14ac:dyDescent="0.2">
      <c r="D933" s="73"/>
      <c r="E933" s="73"/>
    </row>
    <row r="934" spans="4:5" x14ac:dyDescent="0.2">
      <c r="D934" s="73"/>
      <c r="E934" s="73"/>
    </row>
    <row r="935" spans="4:5" x14ac:dyDescent="0.2">
      <c r="D935" s="73"/>
      <c r="E935" s="73"/>
    </row>
    <row r="936" spans="4:5" x14ac:dyDescent="0.2">
      <c r="D936" s="73"/>
      <c r="E936" s="73"/>
    </row>
    <row r="937" spans="4:5" x14ac:dyDescent="0.2">
      <c r="D937" s="73"/>
      <c r="E937" s="73"/>
    </row>
    <row r="938" spans="4:5" x14ac:dyDescent="0.2">
      <c r="D938" s="73"/>
      <c r="E938" s="73"/>
    </row>
    <row r="939" spans="4:5" x14ac:dyDescent="0.2">
      <c r="D939" s="73"/>
      <c r="E939" s="73"/>
    </row>
    <row r="940" spans="4:5" x14ac:dyDescent="0.2">
      <c r="D940" s="73"/>
      <c r="E940" s="73"/>
    </row>
    <row r="941" spans="4:5" x14ac:dyDescent="0.2">
      <c r="D941" s="73"/>
      <c r="E941" s="73"/>
    </row>
    <row r="942" spans="4:5" x14ac:dyDescent="0.2">
      <c r="D942" s="73"/>
      <c r="E942" s="73"/>
    </row>
    <row r="943" spans="4:5" x14ac:dyDescent="0.2">
      <c r="D943" s="73"/>
      <c r="E943" s="73"/>
    </row>
    <row r="944" spans="4:5" x14ac:dyDescent="0.2">
      <c r="D944" s="73"/>
      <c r="E944" s="73"/>
    </row>
    <row r="945" spans="4:5" x14ac:dyDescent="0.2">
      <c r="D945" s="73"/>
      <c r="E945" s="73"/>
    </row>
    <row r="946" spans="4:5" x14ac:dyDescent="0.2">
      <c r="D946" s="73"/>
      <c r="E946" s="73"/>
    </row>
    <row r="947" spans="4:5" x14ac:dyDescent="0.2">
      <c r="D947" s="73"/>
      <c r="E947" s="73"/>
    </row>
    <row r="948" spans="4:5" x14ac:dyDescent="0.2">
      <c r="D948" s="73"/>
      <c r="E948" s="73"/>
    </row>
    <row r="949" spans="4:5" x14ac:dyDescent="0.2">
      <c r="D949" s="73"/>
      <c r="E949" s="73"/>
    </row>
    <row r="950" spans="4:5" x14ac:dyDescent="0.2">
      <c r="D950" s="73"/>
      <c r="E950" s="73"/>
    </row>
    <row r="951" spans="4:5" x14ac:dyDescent="0.2">
      <c r="D951" s="73"/>
      <c r="E951" s="73"/>
    </row>
    <row r="952" spans="4:5" x14ac:dyDescent="0.2">
      <c r="D952" s="73"/>
      <c r="E952" s="73"/>
    </row>
    <row r="953" spans="4:5" x14ac:dyDescent="0.2">
      <c r="D953" s="73"/>
      <c r="E953" s="73"/>
    </row>
    <row r="954" spans="4:5" x14ac:dyDescent="0.2">
      <c r="D954" s="73"/>
      <c r="E954" s="73"/>
    </row>
    <row r="955" spans="4:5" x14ac:dyDescent="0.2">
      <c r="D955" s="73"/>
      <c r="E955" s="73"/>
    </row>
    <row r="956" spans="4:5" x14ac:dyDescent="0.2">
      <c r="D956" s="73"/>
      <c r="E956" s="73"/>
    </row>
    <row r="957" spans="4:5" x14ac:dyDescent="0.2">
      <c r="D957" s="73"/>
      <c r="E957" s="73"/>
    </row>
    <row r="958" spans="4:5" x14ac:dyDescent="0.2">
      <c r="D958" s="73"/>
      <c r="E958" s="73"/>
    </row>
    <row r="959" spans="4:5" x14ac:dyDescent="0.2">
      <c r="D959" s="73"/>
      <c r="E959" s="73"/>
    </row>
    <row r="960" spans="4:5" x14ac:dyDescent="0.2">
      <c r="D960" s="73"/>
      <c r="E960" s="73"/>
    </row>
    <row r="961" spans="4:5" x14ac:dyDescent="0.2">
      <c r="D961" s="73"/>
      <c r="E961" s="73"/>
    </row>
    <row r="962" spans="4:5" x14ac:dyDescent="0.2">
      <c r="D962" s="73"/>
      <c r="E962" s="73"/>
    </row>
    <row r="963" spans="4:5" x14ac:dyDescent="0.2">
      <c r="D963" s="73"/>
      <c r="E963" s="73"/>
    </row>
    <row r="964" spans="4:5" x14ac:dyDescent="0.2">
      <c r="D964" s="73"/>
      <c r="E964" s="73"/>
    </row>
    <row r="965" spans="4:5" x14ac:dyDescent="0.2">
      <c r="D965" s="73"/>
      <c r="E965" s="73"/>
    </row>
    <row r="966" spans="4:5" x14ac:dyDescent="0.2">
      <c r="D966" s="73"/>
      <c r="E966" s="73"/>
    </row>
    <row r="967" spans="4:5" x14ac:dyDescent="0.2">
      <c r="D967" s="73"/>
      <c r="E967" s="73"/>
    </row>
    <row r="968" spans="4:5" x14ac:dyDescent="0.2">
      <c r="D968" s="73"/>
      <c r="E968" s="73"/>
    </row>
    <row r="969" spans="4:5" x14ac:dyDescent="0.2">
      <c r="D969" s="73"/>
      <c r="E969" s="73"/>
    </row>
    <row r="970" spans="4:5" x14ac:dyDescent="0.2">
      <c r="D970" s="73"/>
      <c r="E970" s="73"/>
    </row>
    <row r="971" spans="4:5" x14ac:dyDescent="0.2">
      <c r="D971" s="73"/>
      <c r="E971" s="73"/>
    </row>
    <row r="972" spans="4:5" x14ac:dyDescent="0.2">
      <c r="D972" s="73"/>
      <c r="E972" s="73"/>
    </row>
    <row r="973" spans="4:5" x14ac:dyDescent="0.2">
      <c r="D973" s="73"/>
      <c r="E973" s="73"/>
    </row>
    <row r="974" spans="4:5" x14ac:dyDescent="0.2">
      <c r="D974" s="73"/>
      <c r="E974" s="73"/>
    </row>
    <row r="975" spans="4:5" x14ac:dyDescent="0.2">
      <c r="D975" s="73"/>
      <c r="E975" s="73"/>
    </row>
    <row r="976" spans="4:5" x14ac:dyDescent="0.2">
      <c r="D976" s="73"/>
      <c r="E976" s="73"/>
    </row>
    <row r="977" spans="4:5" x14ac:dyDescent="0.2">
      <c r="D977" s="73"/>
      <c r="E977" s="73"/>
    </row>
    <row r="978" spans="4:5" x14ac:dyDescent="0.2">
      <c r="D978" s="73"/>
      <c r="E978" s="73"/>
    </row>
    <row r="979" spans="4:5" x14ac:dyDescent="0.2">
      <c r="D979" s="73"/>
      <c r="E979" s="73"/>
    </row>
    <row r="980" spans="4:5" x14ac:dyDescent="0.2">
      <c r="D980" s="73"/>
      <c r="E980" s="73"/>
    </row>
    <row r="981" spans="4:5" x14ac:dyDescent="0.2">
      <c r="D981" s="73"/>
      <c r="E981" s="73"/>
    </row>
    <row r="982" spans="4:5" x14ac:dyDescent="0.2">
      <c r="D982" s="73"/>
      <c r="E982" s="73"/>
    </row>
    <row r="983" spans="4:5" x14ac:dyDescent="0.2">
      <c r="D983" s="73"/>
      <c r="E983" s="73"/>
    </row>
    <row r="984" spans="4:5" x14ac:dyDescent="0.2">
      <c r="D984" s="73"/>
      <c r="E984" s="73"/>
    </row>
    <row r="985" spans="4:5" x14ac:dyDescent="0.2">
      <c r="D985" s="73"/>
      <c r="E985" s="73"/>
    </row>
    <row r="986" spans="4:5" x14ac:dyDescent="0.2">
      <c r="D986" s="73"/>
      <c r="E986" s="73"/>
    </row>
    <row r="987" spans="4:5" x14ac:dyDescent="0.2">
      <c r="D987" s="73"/>
      <c r="E987" s="73"/>
    </row>
    <row r="988" spans="4:5" x14ac:dyDescent="0.2">
      <c r="D988" s="73"/>
      <c r="E988" s="73"/>
    </row>
    <row r="989" spans="4:5" x14ac:dyDescent="0.2">
      <c r="D989" s="73"/>
      <c r="E989" s="73"/>
    </row>
    <row r="990" spans="4:5" x14ac:dyDescent="0.2">
      <c r="D990" s="73"/>
      <c r="E990" s="73"/>
    </row>
    <row r="991" spans="4:5" x14ac:dyDescent="0.2">
      <c r="D991" s="73"/>
      <c r="E991" s="73"/>
    </row>
    <row r="992" spans="4:5" x14ac:dyDescent="0.2">
      <c r="D992" s="73"/>
      <c r="E992" s="73"/>
    </row>
    <row r="993" spans="4:5" x14ac:dyDescent="0.2">
      <c r="D993" s="73"/>
      <c r="E993" s="73"/>
    </row>
    <row r="994" spans="4:5" x14ac:dyDescent="0.2">
      <c r="D994" s="73"/>
      <c r="E994" s="73"/>
    </row>
    <row r="995" spans="4:5" x14ac:dyDescent="0.2">
      <c r="D995" s="73"/>
      <c r="E995" s="73"/>
    </row>
    <row r="996" spans="4:5" x14ac:dyDescent="0.2">
      <c r="D996" s="73"/>
      <c r="E996" s="73"/>
    </row>
    <row r="997" spans="4:5" x14ac:dyDescent="0.2">
      <c r="D997" s="73"/>
      <c r="E997" s="73"/>
    </row>
    <row r="998" spans="4:5" x14ac:dyDescent="0.2">
      <c r="D998" s="73"/>
      <c r="E998" s="73"/>
    </row>
    <row r="999" spans="4:5" x14ac:dyDescent="0.2">
      <c r="D999" s="73"/>
      <c r="E999" s="73"/>
    </row>
    <row r="1000" spans="4:5" x14ac:dyDescent="0.2">
      <c r="D1000" s="73"/>
      <c r="E1000" s="73"/>
    </row>
    <row r="1001" spans="4:5" x14ac:dyDescent="0.2">
      <c r="D1001" s="73"/>
      <c r="E1001" s="73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B07CD-8384-4329-9C0D-01867B3ACD18}">
  <sheetPr>
    <tabColor rgb="FFFF0000"/>
  </sheetPr>
  <dimension ref="A1:EZ2"/>
  <sheetViews>
    <sheetView tabSelected="1" workbookViewId="0"/>
  </sheetViews>
  <sheetFormatPr baseColWidth="10" defaultColWidth="8.83203125" defaultRowHeight="15" x14ac:dyDescent="0.2"/>
  <sheetData>
    <row r="1" spans="1:156" x14ac:dyDescent="0.2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  <c r="CH1" s="90"/>
      <c r="CI1" s="90"/>
      <c r="CJ1" s="90"/>
      <c r="CK1" s="90"/>
      <c r="CL1" s="90"/>
      <c r="CM1" s="90"/>
      <c r="CN1" s="90"/>
      <c r="CO1" s="90"/>
      <c r="CP1" s="90"/>
      <c r="CQ1" s="90"/>
      <c r="CR1" s="90"/>
      <c r="CS1" s="90"/>
      <c r="CT1" s="90"/>
      <c r="CU1" s="90"/>
      <c r="CV1" s="90"/>
      <c r="CW1" s="90"/>
      <c r="CX1" s="90"/>
      <c r="CY1" s="90"/>
      <c r="CZ1" s="90"/>
      <c r="DA1" s="90"/>
      <c r="DB1" s="90"/>
      <c r="DC1" s="90"/>
      <c r="DD1" s="90"/>
      <c r="DE1" s="90"/>
      <c r="DF1" s="90"/>
      <c r="DG1" s="90"/>
      <c r="DH1" s="90"/>
      <c r="DI1" s="90"/>
      <c r="DJ1" s="90"/>
      <c r="DK1" s="90"/>
      <c r="DL1" s="90"/>
      <c r="DM1" s="90"/>
      <c r="DN1" s="90"/>
      <c r="DO1" s="90"/>
      <c r="DP1" s="90"/>
      <c r="DQ1" s="90"/>
      <c r="DR1" s="90"/>
      <c r="DS1" s="90"/>
      <c r="DT1" s="90"/>
      <c r="DU1" s="90"/>
      <c r="DV1" s="90"/>
      <c r="DW1" s="90"/>
      <c r="DX1" s="90"/>
      <c r="DY1" s="90"/>
      <c r="DZ1" s="90"/>
      <c r="EA1" s="90"/>
      <c r="EB1" s="90"/>
      <c r="EC1" s="90"/>
      <c r="ED1" s="90"/>
      <c r="EE1" s="90"/>
      <c r="EF1" s="90"/>
      <c r="EG1" s="90"/>
      <c r="EH1" s="90"/>
      <c r="EI1" s="90"/>
      <c r="EJ1" s="90"/>
      <c r="EK1" s="90"/>
      <c r="EL1" s="90"/>
      <c r="EM1" s="90"/>
      <c r="EN1" s="90"/>
      <c r="EO1" s="90"/>
      <c r="EP1" s="90"/>
      <c r="EQ1" s="90"/>
      <c r="ER1" s="90"/>
      <c r="ES1" s="90"/>
      <c r="ET1" s="90"/>
      <c r="EU1" s="90"/>
      <c r="EV1" s="90"/>
      <c r="EW1" s="90"/>
      <c r="EX1" s="90"/>
      <c r="EY1" s="90"/>
      <c r="EZ1" s="90"/>
    </row>
    <row r="2" spans="1:156" x14ac:dyDescent="0.2">
      <c r="A2" s="90"/>
      <c r="B2" s="91"/>
      <c r="C2" s="96"/>
      <c r="D2" s="96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1"/>
      <c r="AW2" s="91"/>
      <c r="AX2" s="91"/>
      <c r="AY2" s="91"/>
      <c r="AZ2" s="91"/>
      <c r="BA2" s="91"/>
      <c r="BB2" s="91"/>
      <c r="BC2" s="91"/>
      <c r="BD2" s="91"/>
      <c r="BE2" s="91"/>
      <c r="BF2" s="91"/>
      <c r="BG2" s="91"/>
      <c r="BH2" s="91"/>
      <c r="BI2" s="91"/>
      <c r="BJ2" s="91"/>
      <c r="BK2" s="91"/>
      <c r="BL2" s="91"/>
      <c r="BM2" s="91"/>
      <c r="BN2" s="91"/>
      <c r="BO2" s="91"/>
      <c r="BP2" s="91"/>
      <c r="BQ2" s="91"/>
      <c r="BR2" s="91"/>
      <c r="BS2" s="91"/>
      <c r="BT2" s="91"/>
      <c r="BU2" s="91"/>
      <c r="BV2" s="91"/>
      <c r="BW2" s="91"/>
      <c r="BX2" s="91"/>
      <c r="BY2" s="91"/>
      <c r="BZ2" s="91"/>
      <c r="CA2" s="91"/>
      <c r="CB2" s="91"/>
      <c r="CC2" s="91"/>
      <c r="CD2" s="91"/>
      <c r="CE2" s="91"/>
      <c r="CF2" s="91"/>
      <c r="CG2" s="91"/>
      <c r="CH2" s="91"/>
      <c r="CI2" s="91"/>
      <c r="CJ2" s="91"/>
      <c r="CK2" s="91"/>
      <c r="CL2" s="91"/>
      <c r="CM2" s="91"/>
      <c r="CN2" s="91"/>
      <c r="CO2" s="91"/>
      <c r="CP2" s="91"/>
      <c r="CQ2" s="91"/>
      <c r="CR2" s="91"/>
      <c r="CS2" s="91"/>
      <c r="CT2" s="91"/>
      <c r="CU2" s="91"/>
      <c r="CV2" s="91"/>
      <c r="CW2" s="91"/>
      <c r="CX2" s="91"/>
      <c r="CY2" s="91"/>
      <c r="CZ2" s="91"/>
      <c r="DA2" s="91"/>
      <c r="DB2" s="91"/>
      <c r="DC2" s="91"/>
      <c r="DD2" s="91"/>
      <c r="DE2" s="91"/>
      <c r="DF2" s="91"/>
      <c r="DG2" s="91"/>
      <c r="DH2" s="91"/>
      <c r="DI2" s="91"/>
      <c r="DJ2" s="91"/>
      <c r="DK2" s="91"/>
      <c r="DL2" s="91"/>
      <c r="DM2" s="91"/>
      <c r="DN2" s="91"/>
      <c r="DO2" s="91"/>
      <c r="DP2" s="91"/>
      <c r="DQ2" s="91"/>
      <c r="DR2" s="91"/>
      <c r="DS2" s="91"/>
      <c r="DT2" s="91"/>
      <c r="DU2" s="91"/>
      <c r="DV2" s="91"/>
      <c r="DW2" s="91"/>
      <c r="DX2" s="91"/>
      <c r="DY2" s="91"/>
      <c r="DZ2" s="91"/>
      <c r="EA2" s="91"/>
      <c r="EB2" s="91"/>
      <c r="EC2" s="91"/>
      <c r="ED2" s="91"/>
      <c r="EE2" s="91"/>
      <c r="EF2" s="91"/>
      <c r="EG2" s="91"/>
      <c r="EH2" s="91"/>
      <c r="EI2" s="91"/>
      <c r="EJ2" s="91"/>
      <c r="EK2" s="91"/>
      <c r="EL2" s="91"/>
      <c r="EM2" s="91"/>
      <c r="EN2" s="91"/>
      <c r="EO2" s="91"/>
      <c r="EP2" s="91"/>
      <c r="EQ2" s="91"/>
      <c r="ER2" s="91"/>
      <c r="ES2" s="91"/>
      <c r="ET2" s="91"/>
      <c r="EU2" s="91"/>
      <c r="EV2" s="91"/>
      <c r="EW2" s="91"/>
      <c r="EX2" s="91"/>
      <c r="EY2" s="91"/>
      <c r="EZ2" s="9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FB2B1-D370-8640-913E-87A21EE3986A}">
  <dimension ref="A1:B144"/>
  <sheetViews>
    <sheetView workbookViewId="0">
      <selection activeCell="C8" sqref="C8"/>
    </sheetView>
  </sheetViews>
  <sheetFormatPr baseColWidth="10" defaultRowHeight="15" x14ac:dyDescent="0.2"/>
  <cols>
    <col min="1" max="1" width="96.83203125" customWidth="1"/>
  </cols>
  <sheetData>
    <row r="1" spans="1:2" x14ac:dyDescent="0.2">
      <c r="A1" s="90" t="s">
        <v>87</v>
      </c>
      <c r="B1" s="90" t="s">
        <v>275</v>
      </c>
    </row>
    <row r="2" spans="1:2" x14ac:dyDescent="0.2">
      <c r="A2" s="90" t="s">
        <v>88</v>
      </c>
      <c r="B2" s="91" t="s">
        <v>276</v>
      </c>
    </row>
    <row r="3" spans="1:2" x14ac:dyDescent="0.2">
      <c r="A3" s="90" t="s">
        <v>89</v>
      </c>
      <c r="B3" s="96">
        <v>36892</v>
      </c>
    </row>
    <row r="4" spans="1:2" x14ac:dyDescent="0.2">
      <c r="A4" s="90" t="s">
        <v>90</v>
      </c>
      <c r="B4" s="96">
        <v>37289</v>
      </c>
    </row>
    <row r="5" spans="1:2" x14ac:dyDescent="0.2">
      <c r="A5" s="90" t="s">
        <v>91</v>
      </c>
      <c r="B5" s="91">
        <v>85</v>
      </c>
    </row>
    <row r="6" spans="1:2" x14ac:dyDescent="0.2">
      <c r="A6" s="90" t="s">
        <v>92</v>
      </c>
      <c r="B6" s="91">
        <v>66</v>
      </c>
    </row>
    <row r="7" spans="1:2" x14ac:dyDescent="0.2">
      <c r="A7" s="90" t="s">
        <v>93</v>
      </c>
      <c r="B7" s="91">
        <v>15.25</v>
      </c>
    </row>
    <row r="8" spans="1:2" x14ac:dyDescent="0.2">
      <c r="A8" s="90" t="s">
        <v>94</v>
      </c>
      <c r="B8" s="91">
        <v>15</v>
      </c>
    </row>
    <row r="9" spans="1:2" x14ac:dyDescent="0.2">
      <c r="A9" s="90" t="s">
        <v>95</v>
      </c>
      <c r="B9" s="91">
        <v>69.75</v>
      </c>
    </row>
    <row r="10" spans="1:2" x14ac:dyDescent="0.2">
      <c r="A10" s="90" t="s">
        <v>96</v>
      </c>
      <c r="B10" s="91">
        <v>51</v>
      </c>
    </row>
    <row r="11" spans="1:2" x14ac:dyDescent="0.2">
      <c r="A11" s="90" t="s">
        <v>97</v>
      </c>
      <c r="B11" s="91">
        <v>71</v>
      </c>
    </row>
    <row r="12" spans="1:2" x14ac:dyDescent="0.2">
      <c r="A12" s="90" t="s">
        <v>98</v>
      </c>
      <c r="B12" s="91">
        <v>72</v>
      </c>
    </row>
    <row r="13" spans="1:2" x14ac:dyDescent="0.2">
      <c r="A13" s="90" t="s">
        <v>99</v>
      </c>
      <c r="B13" s="91">
        <v>11</v>
      </c>
    </row>
    <row r="14" spans="1:2" x14ac:dyDescent="0.2">
      <c r="A14" s="90" t="s">
        <v>100</v>
      </c>
      <c r="B14" s="91">
        <v>12</v>
      </c>
    </row>
    <row r="15" spans="1:2" x14ac:dyDescent="0.2">
      <c r="A15" s="90" t="s">
        <v>101</v>
      </c>
      <c r="B15" s="91">
        <v>26</v>
      </c>
    </row>
    <row r="16" spans="1:2" x14ac:dyDescent="0.2">
      <c r="A16" s="90" t="s">
        <v>102</v>
      </c>
      <c r="B16" s="91">
        <v>33.25</v>
      </c>
    </row>
    <row r="17" spans="1:2" x14ac:dyDescent="0.2">
      <c r="A17" s="90" t="s">
        <v>103</v>
      </c>
      <c r="B17" s="91">
        <v>25</v>
      </c>
    </row>
    <row r="18" spans="1:2" x14ac:dyDescent="0.2">
      <c r="A18" s="90" t="s">
        <v>104</v>
      </c>
      <c r="B18" s="91">
        <v>36.5</v>
      </c>
    </row>
    <row r="19" spans="1:2" x14ac:dyDescent="0.2">
      <c r="A19" s="90" t="s">
        <v>105</v>
      </c>
      <c r="B19" s="91">
        <v>15</v>
      </c>
    </row>
    <row r="20" spans="1:2" x14ac:dyDescent="0.2">
      <c r="A20" s="90" t="s">
        <v>106</v>
      </c>
      <c r="B20" s="91">
        <v>15.25</v>
      </c>
    </row>
    <row r="21" spans="1:2" x14ac:dyDescent="0.2">
      <c r="A21" s="90" t="s">
        <v>159</v>
      </c>
      <c r="B21" s="91">
        <v>21</v>
      </c>
    </row>
    <row r="22" spans="1:2" x14ac:dyDescent="0.2">
      <c r="A22" s="90" t="s">
        <v>160</v>
      </c>
      <c r="B22" s="91">
        <v>23.25</v>
      </c>
    </row>
    <row r="23" spans="1:2" x14ac:dyDescent="0.2">
      <c r="A23" s="90" t="s">
        <v>161</v>
      </c>
      <c r="B23" s="91">
        <v>27</v>
      </c>
    </row>
    <row r="24" spans="1:2" x14ac:dyDescent="0.2">
      <c r="A24" s="90" t="s">
        <v>162</v>
      </c>
      <c r="B24" s="91">
        <v>35.75</v>
      </c>
    </row>
    <row r="25" spans="1:2" x14ac:dyDescent="0.2">
      <c r="A25" s="90" t="s">
        <v>163</v>
      </c>
      <c r="B25" s="91">
        <v>12</v>
      </c>
    </row>
    <row r="26" spans="1:2" x14ac:dyDescent="0.2">
      <c r="A26" s="90" t="s">
        <v>164</v>
      </c>
      <c r="B26" s="91">
        <v>15</v>
      </c>
    </row>
    <row r="27" spans="1:2" x14ac:dyDescent="0.2">
      <c r="A27" s="90" t="s">
        <v>165</v>
      </c>
      <c r="B27" s="91">
        <v>37</v>
      </c>
    </row>
    <row r="28" spans="1:2" x14ac:dyDescent="0.2">
      <c r="A28" s="90" t="s">
        <v>166</v>
      </c>
      <c r="B28" s="91">
        <v>47.25</v>
      </c>
    </row>
    <row r="29" spans="1:2" x14ac:dyDescent="0.2">
      <c r="A29" s="90" t="s">
        <v>167</v>
      </c>
      <c r="B29" s="91">
        <v>2</v>
      </c>
    </row>
    <row r="30" spans="1:2" x14ac:dyDescent="0.2">
      <c r="A30" s="90" t="s">
        <v>168</v>
      </c>
      <c r="B30" s="91">
        <v>4</v>
      </c>
    </row>
    <row r="31" spans="1:2" x14ac:dyDescent="0.2">
      <c r="A31" s="90" t="s">
        <v>169</v>
      </c>
      <c r="B31" s="91">
        <v>7</v>
      </c>
    </row>
    <row r="32" spans="1:2" x14ac:dyDescent="0.2">
      <c r="A32" s="90" t="s">
        <v>170</v>
      </c>
      <c r="B32" s="91">
        <v>11</v>
      </c>
    </row>
    <row r="33" spans="1:2" x14ac:dyDescent="0.2">
      <c r="A33" s="90" t="s">
        <v>171</v>
      </c>
      <c r="B33" s="91">
        <v>2</v>
      </c>
    </row>
    <row r="34" spans="1:2" x14ac:dyDescent="0.2">
      <c r="A34" s="90" t="s">
        <v>172</v>
      </c>
      <c r="B34" s="91">
        <v>4</v>
      </c>
    </row>
    <row r="35" spans="1:2" x14ac:dyDescent="0.2">
      <c r="A35" s="90" t="s">
        <v>173</v>
      </c>
      <c r="B35" s="91">
        <v>1</v>
      </c>
    </row>
    <row r="36" spans="1:2" x14ac:dyDescent="0.2">
      <c r="A36" s="90" t="s">
        <v>174</v>
      </c>
      <c r="B36" s="91">
        <v>5</v>
      </c>
    </row>
    <row r="37" spans="1:2" x14ac:dyDescent="0.2">
      <c r="A37" s="90" t="s">
        <v>175</v>
      </c>
      <c r="B37" s="91">
        <v>1</v>
      </c>
    </row>
    <row r="38" spans="1:2" x14ac:dyDescent="0.2">
      <c r="A38" s="90" t="s">
        <v>176</v>
      </c>
      <c r="B38" s="91">
        <v>0.5</v>
      </c>
    </row>
    <row r="39" spans="1:2" x14ac:dyDescent="0.2">
      <c r="A39" s="90" t="s">
        <v>177</v>
      </c>
      <c r="B39" s="91">
        <v>4</v>
      </c>
    </row>
    <row r="40" spans="1:2" x14ac:dyDescent="0.2">
      <c r="A40" s="90" t="s">
        <v>178</v>
      </c>
      <c r="B40" s="91">
        <v>1.25</v>
      </c>
    </row>
    <row r="41" spans="1:2" x14ac:dyDescent="0.2">
      <c r="A41" s="90" t="s">
        <v>179</v>
      </c>
      <c r="B41" s="91">
        <v>3</v>
      </c>
    </row>
    <row r="42" spans="1:2" x14ac:dyDescent="0.2">
      <c r="A42" s="90" t="s">
        <v>180</v>
      </c>
      <c r="B42" s="91">
        <v>1</v>
      </c>
    </row>
    <row r="43" spans="1:2" x14ac:dyDescent="0.2">
      <c r="A43" s="90" t="s">
        <v>181</v>
      </c>
      <c r="B43" s="91">
        <v>1</v>
      </c>
    </row>
    <row r="44" spans="1:2" x14ac:dyDescent="0.2">
      <c r="A44" s="90" t="s">
        <v>182</v>
      </c>
      <c r="B44" s="91">
        <v>0.25</v>
      </c>
    </row>
    <row r="45" spans="1:2" x14ac:dyDescent="0.2">
      <c r="A45" s="90" t="s">
        <v>183</v>
      </c>
      <c r="B45" s="91">
        <v>1</v>
      </c>
    </row>
    <row r="46" spans="1:2" x14ac:dyDescent="0.2">
      <c r="A46" s="90" t="s">
        <v>184</v>
      </c>
      <c r="B46" s="91">
        <v>0.25</v>
      </c>
    </row>
    <row r="47" spans="1:2" x14ac:dyDescent="0.2">
      <c r="A47" s="90" t="s">
        <v>185</v>
      </c>
      <c r="B47" s="91">
        <v>26</v>
      </c>
    </row>
    <row r="48" spans="1:2" x14ac:dyDescent="0.2">
      <c r="A48" s="90" t="s">
        <v>186</v>
      </c>
      <c r="B48" s="91">
        <v>31.5</v>
      </c>
    </row>
    <row r="49" spans="1:2" x14ac:dyDescent="0.2">
      <c r="A49" s="90" t="s">
        <v>187</v>
      </c>
      <c r="B49" s="91">
        <v>15</v>
      </c>
    </row>
    <row r="50" spans="1:2" x14ac:dyDescent="0.2">
      <c r="A50" s="90" t="s">
        <v>188</v>
      </c>
      <c r="B50" s="91">
        <v>25</v>
      </c>
    </row>
    <row r="51" spans="1:2" x14ac:dyDescent="0.2">
      <c r="A51" s="90" t="s">
        <v>189</v>
      </c>
      <c r="B51" s="91">
        <v>25</v>
      </c>
    </row>
    <row r="52" spans="1:2" x14ac:dyDescent="0.2">
      <c r="A52" s="90" t="s">
        <v>190</v>
      </c>
      <c r="B52" s="91">
        <v>28.5</v>
      </c>
    </row>
    <row r="53" spans="1:2" x14ac:dyDescent="0.2">
      <c r="A53" s="90" t="s">
        <v>191</v>
      </c>
      <c r="B53" s="91">
        <v>2</v>
      </c>
    </row>
    <row r="54" spans="1:2" x14ac:dyDescent="0.2">
      <c r="A54" s="90" t="s">
        <v>192</v>
      </c>
      <c r="B54" s="91">
        <v>0</v>
      </c>
    </row>
    <row r="55" spans="1:2" x14ac:dyDescent="0.2">
      <c r="A55" s="90" t="s">
        <v>193</v>
      </c>
      <c r="B55" s="91">
        <v>6</v>
      </c>
    </row>
    <row r="56" spans="1:2" x14ac:dyDescent="0.2">
      <c r="A56" s="90" t="s">
        <v>194</v>
      </c>
      <c r="B56" s="91">
        <v>7.25</v>
      </c>
    </row>
    <row r="57" spans="1:2" x14ac:dyDescent="0.2">
      <c r="A57" s="90" t="s">
        <v>195</v>
      </c>
      <c r="B57" s="91">
        <v>9</v>
      </c>
    </row>
    <row r="58" spans="1:2" x14ac:dyDescent="0.2">
      <c r="A58" s="90" t="s">
        <v>196</v>
      </c>
      <c r="B58" s="91">
        <v>12.5</v>
      </c>
    </row>
    <row r="59" spans="1:2" x14ac:dyDescent="0.2">
      <c r="A59" s="90" t="s">
        <v>197</v>
      </c>
      <c r="B59" s="91">
        <v>2</v>
      </c>
    </row>
    <row r="60" spans="1:2" x14ac:dyDescent="0.2">
      <c r="A60" s="90" t="s">
        <v>198</v>
      </c>
      <c r="B60" s="91">
        <v>2.5</v>
      </c>
    </row>
    <row r="61" spans="1:2" x14ac:dyDescent="0.2">
      <c r="A61" s="90" t="s">
        <v>199</v>
      </c>
      <c r="B61" s="91">
        <v>1</v>
      </c>
    </row>
    <row r="62" spans="1:2" x14ac:dyDescent="0.2">
      <c r="A62" s="90" t="s">
        <v>200</v>
      </c>
      <c r="B62" s="91">
        <v>2</v>
      </c>
    </row>
    <row r="63" spans="1:2" x14ac:dyDescent="0.2">
      <c r="A63" s="90" t="s">
        <v>201</v>
      </c>
      <c r="B63" s="91">
        <v>4</v>
      </c>
    </row>
    <row r="64" spans="1:2" x14ac:dyDescent="0.2">
      <c r="A64" s="90" t="s">
        <v>202</v>
      </c>
      <c r="B64" s="91">
        <v>4.5</v>
      </c>
    </row>
    <row r="65" spans="1:2" x14ac:dyDescent="0.2">
      <c r="A65" s="90" t="s">
        <v>203</v>
      </c>
      <c r="B65" s="91">
        <v>1</v>
      </c>
    </row>
    <row r="66" spans="1:2" x14ac:dyDescent="0.2">
      <c r="A66" s="90" t="s">
        <v>204</v>
      </c>
      <c r="B66" s="91">
        <v>1</v>
      </c>
    </row>
    <row r="67" spans="1:2" x14ac:dyDescent="0.2">
      <c r="A67" s="90" t="s">
        <v>205</v>
      </c>
      <c r="B67" s="91">
        <v>3</v>
      </c>
    </row>
    <row r="68" spans="1:2" x14ac:dyDescent="0.2">
      <c r="A68" s="90" t="s">
        <v>206</v>
      </c>
      <c r="B68" s="91">
        <v>0.25</v>
      </c>
    </row>
    <row r="69" spans="1:2" x14ac:dyDescent="0.2">
      <c r="A69" s="90" t="s">
        <v>207</v>
      </c>
      <c r="B69" s="91">
        <v>2</v>
      </c>
    </row>
    <row r="70" spans="1:2" x14ac:dyDescent="0.2">
      <c r="A70" s="90" t="s">
        <v>208</v>
      </c>
      <c r="B70" s="91">
        <v>0</v>
      </c>
    </row>
    <row r="71" spans="1:2" x14ac:dyDescent="0.2">
      <c r="A71" s="90" t="s">
        <v>209</v>
      </c>
      <c r="B71" s="91">
        <v>1</v>
      </c>
    </row>
    <row r="72" spans="1:2" x14ac:dyDescent="0.2">
      <c r="A72" s="90" t="s">
        <v>210</v>
      </c>
      <c r="B72" s="91">
        <v>0.25</v>
      </c>
    </row>
    <row r="73" spans="1:2" x14ac:dyDescent="0.2">
      <c r="A73" s="90" t="s">
        <v>211</v>
      </c>
      <c r="B73" s="91">
        <v>1</v>
      </c>
    </row>
    <row r="74" spans="1:2" x14ac:dyDescent="0.2">
      <c r="A74" s="90" t="s">
        <v>212</v>
      </c>
      <c r="B74" s="91">
        <v>0.25</v>
      </c>
    </row>
    <row r="75" spans="1:2" x14ac:dyDescent="0.2">
      <c r="A75" s="90" t="s">
        <v>213</v>
      </c>
      <c r="B75" s="91">
        <v>10</v>
      </c>
    </row>
    <row r="76" spans="1:2" x14ac:dyDescent="0.2">
      <c r="A76" s="90" t="s">
        <v>214</v>
      </c>
      <c r="B76" s="91">
        <v>13</v>
      </c>
    </row>
    <row r="77" spans="1:2" x14ac:dyDescent="0.2">
      <c r="A77" s="90" t="s">
        <v>215</v>
      </c>
      <c r="B77" s="91">
        <v>5</v>
      </c>
    </row>
    <row r="78" spans="1:2" x14ac:dyDescent="0.2">
      <c r="A78" s="90" t="s">
        <v>216</v>
      </c>
      <c r="B78" s="91">
        <v>2.25</v>
      </c>
    </row>
    <row r="79" spans="1:2" x14ac:dyDescent="0.2">
      <c r="A79" s="90" t="s">
        <v>217</v>
      </c>
      <c r="B79" s="91">
        <v>2</v>
      </c>
    </row>
    <row r="80" spans="1:2" x14ac:dyDescent="0.2">
      <c r="A80" s="90" t="s">
        <v>218</v>
      </c>
      <c r="B80" s="91">
        <v>2.75</v>
      </c>
    </row>
    <row r="81" spans="1:2" x14ac:dyDescent="0.2">
      <c r="A81" s="90" t="s">
        <v>219</v>
      </c>
      <c r="B81" s="91">
        <v>2</v>
      </c>
    </row>
    <row r="82" spans="1:2" x14ac:dyDescent="0.2">
      <c r="A82" s="90" t="s">
        <v>220</v>
      </c>
      <c r="B82" s="91">
        <v>2</v>
      </c>
    </row>
    <row r="83" spans="1:2" x14ac:dyDescent="0.2">
      <c r="A83" s="90" t="s">
        <v>221</v>
      </c>
      <c r="B83" s="91">
        <v>4</v>
      </c>
    </row>
    <row r="84" spans="1:2" x14ac:dyDescent="0.2">
      <c r="A84" s="90" t="s">
        <v>222</v>
      </c>
      <c r="B84" s="91">
        <v>4.5</v>
      </c>
    </row>
    <row r="85" spans="1:2" x14ac:dyDescent="0.2">
      <c r="A85" s="90" t="s">
        <v>223</v>
      </c>
      <c r="B85" s="91">
        <v>1</v>
      </c>
    </row>
    <row r="86" spans="1:2" x14ac:dyDescent="0.2">
      <c r="A86" s="90" t="s">
        <v>224</v>
      </c>
      <c r="B86" s="91">
        <v>0</v>
      </c>
    </row>
    <row r="87" spans="1:2" x14ac:dyDescent="0.2">
      <c r="A87" s="90" t="s">
        <v>225</v>
      </c>
      <c r="B87" s="91">
        <v>2</v>
      </c>
    </row>
    <row r="88" spans="1:2" x14ac:dyDescent="0.2">
      <c r="A88" s="90" t="s">
        <v>226</v>
      </c>
      <c r="B88" s="91">
        <v>2.5</v>
      </c>
    </row>
    <row r="89" spans="1:2" x14ac:dyDescent="0.2">
      <c r="A89" s="90" t="s">
        <v>227</v>
      </c>
      <c r="B89" s="91">
        <v>2</v>
      </c>
    </row>
    <row r="90" spans="1:2" x14ac:dyDescent="0.2">
      <c r="A90" s="90" t="s">
        <v>228</v>
      </c>
      <c r="B90" s="91">
        <v>3</v>
      </c>
    </row>
    <row r="91" spans="1:2" x14ac:dyDescent="0.2">
      <c r="A91" s="90" t="s">
        <v>229</v>
      </c>
      <c r="B91" s="91">
        <v>5</v>
      </c>
    </row>
    <row r="92" spans="1:2" x14ac:dyDescent="0.2">
      <c r="A92" s="90" t="s">
        <v>230</v>
      </c>
      <c r="B92" s="91">
        <v>3.75</v>
      </c>
    </row>
    <row r="93" spans="1:2" x14ac:dyDescent="0.2">
      <c r="A93" s="90" t="s">
        <v>231</v>
      </c>
      <c r="B93" s="91">
        <v>4</v>
      </c>
    </row>
    <row r="94" spans="1:2" x14ac:dyDescent="0.2">
      <c r="A94" s="90" t="s">
        <v>232</v>
      </c>
      <c r="B94" s="91">
        <v>5.5</v>
      </c>
    </row>
    <row r="95" spans="1:2" x14ac:dyDescent="0.2">
      <c r="A95" s="90" t="s">
        <v>233</v>
      </c>
      <c r="B95" s="91">
        <v>2</v>
      </c>
    </row>
    <row r="96" spans="1:2" x14ac:dyDescent="0.2">
      <c r="A96" s="90" t="s">
        <v>234</v>
      </c>
      <c r="B96" s="91">
        <v>0</v>
      </c>
    </row>
    <row r="97" spans="1:2" x14ac:dyDescent="0.2">
      <c r="A97" s="90" t="s">
        <v>235</v>
      </c>
      <c r="B97" s="91">
        <v>1</v>
      </c>
    </row>
    <row r="98" spans="1:2" x14ac:dyDescent="0.2">
      <c r="A98" s="90" t="s">
        <v>236</v>
      </c>
      <c r="B98" s="91">
        <v>3</v>
      </c>
    </row>
    <row r="99" spans="1:2" x14ac:dyDescent="0.2">
      <c r="A99" s="90" t="s">
        <v>237</v>
      </c>
      <c r="B99" s="91">
        <v>1</v>
      </c>
    </row>
    <row r="100" spans="1:2" x14ac:dyDescent="0.2">
      <c r="A100" s="90" t="s">
        <v>238</v>
      </c>
      <c r="B100" s="91">
        <v>0.5</v>
      </c>
    </row>
    <row r="101" spans="1:2" x14ac:dyDescent="0.2">
      <c r="A101" s="90" t="s">
        <v>239</v>
      </c>
      <c r="B101" s="91">
        <v>2</v>
      </c>
    </row>
    <row r="102" spans="1:2" x14ac:dyDescent="0.2">
      <c r="A102" s="90" t="s">
        <v>240</v>
      </c>
      <c r="B102" s="91">
        <v>2.5</v>
      </c>
    </row>
    <row r="103" spans="1:2" x14ac:dyDescent="0.2">
      <c r="A103" s="90" t="s">
        <v>241</v>
      </c>
      <c r="B103" s="91">
        <v>1</v>
      </c>
    </row>
    <row r="104" spans="1:2" x14ac:dyDescent="0.2">
      <c r="A104" s="90" t="s">
        <v>242</v>
      </c>
      <c r="B104" s="91">
        <v>0.5</v>
      </c>
    </row>
    <row r="105" spans="1:2" x14ac:dyDescent="0.2">
      <c r="A105" s="90" t="s">
        <v>243</v>
      </c>
      <c r="B105" s="91">
        <v>1</v>
      </c>
    </row>
    <row r="106" spans="1:2" x14ac:dyDescent="0.2">
      <c r="A106" s="90" t="s">
        <v>244</v>
      </c>
      <c r="B106" s="91">
        <v>1</v>
      </c>
    </row>
    <row r="107" spans="1:2" x14ac:dyDescent="0.2">
      <c r="A107" s="90" t="s">
        <v>245</v>
      </c>
      <c r="B107" s="91">
        <v>4</v>
      </c>
    </row>
    <row r="108" spans="1:2" x14ac:dyDescent="0.2">
      <c r="A108" s="90" t="s">
        <v>246</v>
      </c>
      <c r="B108" s="91">
        <v>10</v>
      </c>
    </row>
    <row r="109" spans="1:2" x14ac:dyDescent="0.2">
      <c r="A109" s="90" t="s">
        <v>247</v>
      </c>
      <c r="B109" s="91">
        <v>5</v>
      </c>
    </row>
    <row r="110" spans="1:2" x14ac:dyDescent="0.2">
      <c r="A110" s="90" t="s">
        <v>248</v>
      </c>
      <c r="B110" s="91">
        <v>8</v>
      </c>
    </row>
    <row r="111" spans="1:2" x14ac:dyDescent="0.2">
      <c r="A111" s="90" t="s">
        <v>249</v>
      </c>
      <c r="B111" s="91">
        <v>2</v>
      </c>
    </row>
    <row r="112" spans="1:2" x14ac:dyDescent="0.2">
      <c r="A112" s="90" t="s">
        <v>250</v>
      </c>
      <c r="B112" s="91">
        <v>3</v>
      </c>
    </row>
    <row r="113" spans="1:2" x14ac:dyDescent="0.2">
      <c r="A113" s="90" t="s">
        <v>251</v>
      </c>
      <c r="B113" s="91">
        <v>2</v>
      </c>
    </row>
    <row r="114" spans="1:2" x14ac:dyDescent="0.2">
      <c r="A114" s="90" t="s">
        <v>252</v>
      </c>
      <c r="B114" s="91">
        <v>5</v>
      </c>
    </row>
    <row r="115" spans="1:2" x14ac:dyDescent="0.2">
      <c r="A115" s="90" t="s">
        <v>253</v>
      </c>
      <c r="B115" s="91">
        <v>6</v>
      </c>
    </row>
    <row r="116" spans="1:2" x14ac:dyDescent="0.2">
      <c r="A116" s="90" t="s">
        <v>254</v>
      </c>
      <c r="B116" s="91">
        <v>7.5</v>
      </c>
    </row>
    <row r="117" spans="1:2" x14ac:dyDescent="0.2">
      <c r="A117" s="90" t="s">
        <v>255</v>
      </c>
      <c r="B117" s="91">
        <v>5</v>
      </c>
    </row>
    <row r="118" spans="1:2" x14ac:dyDescent="0.2">
      <c r="A118" s="90" t="s">
        <v>256</v>
      </c>
      <c r="B118" s="91">
        <v>6</v>
      </c>
    </row>
    <row r="119" spans="1:2" x14ac:dyDescent="0.2">
      <c r="A119" s="90" t="s">
        <v>257</v>
      </c>
      <c r="B119" s="91">
        <v>5</v>
      </c>
    </row>
    <row r="120" spans="1:2" x14ac:dyDescent="0.2">
      <c r="A120" s="90" t="s">
        <v>258</v>
      </c>
      <c r="B120" s="91">
        <v>6.5</v>
      </c>
    </row>
    <row r="121" spans="1:2" x14ac:dyDescent="0.2">
      <c r="A121" s="90" t="s">
        <v>259</v>
      </c>
      <c r="B121" s="91">
        <v>1</v>
      </c>
    </row>
    <row r="122" spans="1:2" x14ac:dyDescent="0.2">
      <c r="A122" s="90" t="s">
        <v>260</v>
      </c>
      <c r="B122" s="91">
        <v>0.5</v>
      </c>
    </row>
    <row r="123" spans="1:2" x14ac:dyDescent="0.2">
      <c r="A123" s="90" t="s">
        <v>261</v>
      </c>
      <c r="B123" s="91">
        <v>1</v>
      </c>
    </row>
    <row r="124" spans="1:2" x14ac:dyDescent="0.2">
      <c r="A124" s="90" t="s">
        <v>262</v>
      </c>
      <c r="B124" s="91">
        <v>1</v>
      </c>
    </row>
    <row r="125" spans="1:2" x14ac:dyDescent="0.2">
      <c r="A125" s="90" t="s">
        <v>263</v>
      </c>
      <c r="B125" s="91">
        <v>1</v>
      </c>
    </row>
    <row r="126" spans="1:2" x14ac:dyDescent="0.2">
      <c r="A126" s="90" t="s">
        <v>264</v>
      </c>
      <c r="B126" s="91">
        <v>3</v>
      </c>
    </row>
    <row r="127" spans="1:2" x14ac:dyDescent="0.2">
      <c r="A127" s="90" t="s">
        <v>265</v>
      </c>
      <c r="B127" s="91">
        <v>3</v>
      </c>
    </row>
    <row r="128" spans="1:2" x14ac:dyDescent="0.2">
      <c r="A128" s="90" t="s">
        <v>266</v>
      </c>
      <c r="B128" s="91">
        <v>1</v>
      </c>
    </row>
    <row r="129" spans="1:2" x14ac:dyDescent="0.2">
      <c r="A129" s="90" t="s">
        <v>267</v>
      </c>
      <c r="B129" s="91">
        <v>1</v>
      </c>
    </row>
    <row r="130" spans="1:2" x14ac:dyDescent="0.2">
      <c r="A130" s="90" t="s">
        <v>268</v>
      </c>
      <c r="B130" s="91">
        <v>2</v>
      </c>
    </row>
    <row r="131" spans="1:2" x14ac:dyDescent="0.2">
      <c r="A131" s="90" t="s">
        <v>269</v>
      </c>
      <c r="B131" s="91">
        <v>14</v>
      </c>
    </row>
    <row r="132" spans="1:2" x14ac:dyDescent="0.2">
      <c r="A132" s="90" t="s">
        <v>270</v>
      </c>
      <c r="B132" s="91">
        <v>19</v>
      </c>
    </row>
    <row r="133" spans="1:2" x14ac:dyDescent="0.2">
      <c r="A133" s="90" t="s">
        <v>107</v>
      </c>
      <c r="B133" s="91">
        <v>1.3</v>
      </c>
    </row>
    <row r="134" spans="1:2" x14ac:dyDescent="0.2">
      <c r="A134" s="90" t="s">
        <v>148</v>
      </c>
      <c r="B134" s="91">
        <v>7</v>
      </c>
    </row>
    <row r="135" spans="1:2" x14ac:dyDescent="0.2">
      <c r="A135" s="90" t="s">
        <v>108</v>
      </c>
      <c r="B135" s="91">
        <v>11</v>
      </c>
    </row>
    <row r="136" spans="1:2" x14ac:dyDescent="0.2">
      <c r="A136" s="90" t="s">
        <v>109</v>
      </c>
      <c r="B136" s="91">
        <v>30</v>
      </c>
    </row>
    <row r="137" spans="1:2" x14ac:dyDescent="0.2">
      <c r="A137" s="90" t="s">
        <v>110</v>
      </c>
      <c r="B137" s="91">
        <v>40</v>
      </c>
    </row>
    <row r="138" spans="1:2" x14ac:dyDescent="0.2">
      <c r="A138" s="90" t="s">
        <v>271</v>
      </c>
      <c r="B138" s="91">
        <v>40</v>
      </c>
    </row>
    <row r="139" spans="1:2" x14ac:dyDescent="0.2">
      <c r="A139" s="90" t="s">
        <v>111</v>
      </c>
      <c r="B139" s="91">
        <v>45</v>
      </c>
    </row>
    <row r="140" spans="1:2" x14ac:dyDescent="0.2">
      <c r="A140" s="90" t="s">
        <v>272</v>
      </c>
      <c r="B140" s="91">
        <v>45</v>
      </c>
    </row>
    <row r="141" spans="1:2" x14ac:dyDescent="0.2">
      <c r="A141" s="90" t="s">
        <v>112</v>
      </c>
      <c r="B141" s="91" t="b">
        <v>0</v>
      </c>
    </row>
    <row r="142" spans="1:2" x14ac:dyDescent="0.2">
      <c r="A142" s="90" t="s">
        <v>273</v>
      </c>
      <c r="B142" s="91" t="b">
        <v>0</v>
      </c>
    </row>
    <row r="143" spans="1:2" x14ac:dyDescent="0.2">
      <c r="A143" s="90" t="s">
        <v>113</v>
      </c>
      <c r="B143" s="91" t="b">
        <v>0</v>
      </c>
    </row>
    <row r="144" spans="1:2" x14ac:dyDescent="0.2">
      <c r="A144" s="90" t="s">
        <v>274</v>
      </c>
      <c r="B144" s="91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B9B396-4250-41FC-90BE-FBE05AC4B6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Sprint Summary (standard)</vt:lpstr>
      <vt:lpstr>Sprint Summary (metadata)</vt:lpstr>
      <vt:lpstr>Sprint Summary | data</vt:lpstr>
      <vt:lpstr>Calculated Stats</vt:lpstr>
      <vt:lpstr>processed | data</vt:lpstr>
      <vt:lpstr>rawdata | iteration analysis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Tracey</dc:creator>
  <cp:lastModifiedBy>Chris Tracey</cp:lastModifiedBy>
  <dcterms:created xsi:type="dcterms:W3CDTF">2015-06-05T18:17:20Z</dcterms:created>
  <dcterms:modified xsi:type="dcterms:W3CDTF">2024-10-07T05:24:37Z</dcterms:modified>
</cp:coreProperties>
</file>