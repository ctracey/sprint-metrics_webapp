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Downloads/"/>
    </mc:Choice>
  </mc:AlternateContent>
  <xr:revisionPtr revIDLastSave="0" documentId="13_ncr:1_{DA97840B-3A3D-6A4C-BCFF-85C5F38583D6}" xr6:coauthVersionLast="47" xr6:coauthVersionMax="47" xr10:uidLastSave="{00000000-0000-0000-0000-000000000000}"/>
  <bookViews>
    <workbookView xWindow="0" yWindow="0" windowWidth="68800" windowHeight="28800" tabRatio="783" activeTab="4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J53" i="19" l="1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C128" i="30" l="1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<sst xmlns="http://schemas.openxmlformats.org/spreadsheetml/2006/main" count="284" uniqueCount="157">
  <si>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</si>
  <si>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</si>
  <si>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</si>
  <si>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</si>
  <si>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</si>
  <si>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</si>
  <si>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</si>
  <si>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</si>
  <si>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</si>
  <si>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</si>
  <si>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</si>
  <si>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</si>
  <si>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</si>
  <si>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</si>
  <si>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</si>
  <si>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</si>
  <si>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</si>
  <si>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</si>
  <si>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</si>
  <si>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</si>
  <si>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</si>
  <si>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</si>
  <si>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</si>
  <si>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</si>
  <si>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</si>
  <si>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</si>
  <si>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</si>
  <si>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</si>
  <si>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</si>
  <si>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</si>
  <si>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</si>
  <si>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</si>
  <si>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</si>
  <si>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</si>
  <si>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</si>
  <si>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</si>
  <si>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</si>
  <si>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</si>
  <si>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</si>
  <si>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</si>
  <si>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</si>
  <si>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</si>
  <si>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</si>
  <si>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</si>
  <si>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</si>
  <si>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</si>
  <si>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</si>
  <si>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</si>
  <si>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</si>
  <si>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</si>
  <si>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</si>
  <si>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</si>
  <si>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</si>
  <si>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</si>
  <si>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</si>
  <si>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</si>
  <si>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</si>
  <si>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</si>
  <si>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</si>
  <si>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</si>
  <si>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</si>
  <si>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</si>
  <si>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</si>
  <si>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</si>
  <si>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</si>
  <si>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</si>
  <si>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</si>
  <si>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</si>
  <si>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</si>
  <si>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</si>
  <si>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</si>
  <si>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</si>
  <si>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</si>
  <si>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</si>
  <si>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</si>
  <si>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</si>
  <si>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</si>
  <si>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</si>
  <si>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</si>
  <si>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</si>
  <si>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</si>
  <si>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</si>
  <si>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</si>
  <si>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</si>
  <si>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</si>
  <si>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</si>
  <si>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</si>
  <si>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</si>
  <si>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</si>
  <si>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</si>
  <si>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</si>
  <si>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</si>
  <si>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</si>
  <si>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</si>
  <si>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</si>
  <si>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</si>
  <si>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</si>
  <si>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</si>
  <si>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</si>
  <si>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</si>
  <si>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</si>
  <si>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</si>
  <si>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</si>
  <si>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</si>
  <si>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</si>
  <si>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</si>
  <si>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</si>
  <si>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</si>
  <si>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</si>
  <si>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</si>
  <si>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</si>
  <si>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</si>
  <si>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</si>
  <si>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</si>
  <si>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</si>
  <si>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</si>
  <si>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</si>
  <si>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</si>
  <si>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</si>
  <si>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</si>
  <si>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</si>
  <si>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</si>
  <si>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</si>
  <si>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</si>
  <si>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</si>
  <si>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</si>
  <si>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</si>
  <si>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</si>
  <si>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</si>
  <si>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</si>
  <si>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</si>
  <si>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</si>
  <si>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</si>
  <si>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</si>
  <si>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</si>
  <si>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</si>
  <si>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</si>
  <si>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</si>
  <si>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</si>
  <si>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</si>
  <si>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</si>
  <si>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</si>
  <si>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</si>
  <si>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</si>
  <si>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</si>
  <si>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</si>
  <si>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</si>
  <si>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</si>
  <si>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</si>
  <si>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</si>
  <si>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</si>
  <si>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</si>
  <si>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</si>
  <si>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Project</t>
  </si>
  <si>
    <t>Cloud</t>
  </si>
  <si>
    <t>Dataverse</t>
  </si>
  <si>
    <t>Architecture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</si>
</sst>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  <xf numFmtId="0" fontId="20" fillId="0" borderId="0" xfId="0" applyFont="1"/>
    <xf numFmtId="0" fontId="19" fillId="0" borderId="0" xfId="0" applyFont="1"/>
    <xf numFmtId="14" fontId="19" fillId="0" borderId="0" xfId="0" applyNumberFormat="1" applyFont="1"/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Convergence</c:v>
                </c:pt>
                <c:pt idx="2">
                  <c:v>Project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Cloud</c:v>
                </c:pt>
                <c:pt idx="1">
                  <c:v>Dataverse</c:v>
                </c:pt>
                <c:pt idx="2">
                  <c:v>Architecture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89898" y="248276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64498" y="5579533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61322" y="8451525"/>
          <a:ext cx="3241673" cy="751930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63472" y="249229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9347" y="5598583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9835" y="6160558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9385" y="5576358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20621" y="8480100"/>
          <a:ext cx="3594261" cy="772794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50770" y="11361615"/>
          <a:ext cx="3610136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7771" y="8905525"/>
          <a:ext cx="4410238" cy="2051509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70438" y="11326690"/>
          <a:ext cx="6387529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0081" y="2486311"/>
          <a:ext cx="1932596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29400" y="2487042"/>
          <a:ext cx="2476784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9329" y="989034"/>
          <a:ext cx="2704467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8620" y="1879428"/>
          <a:ext cx="7156934" cy="3291365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61429" y="13196360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96277" y="13423777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96277" y="13780964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Convergence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96277" y="14141649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26499" y="13530384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61347" y="13757801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61347" y="14114988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7564" y="13164702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2412" y="13392119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Cloud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2412" y="13749306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Dataverse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2412" y="14109991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Architecture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67531" y="3449512"/>
          <a:ext cx="4298352" cy="4279529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5971" y="3446032"/>
          <a:ext cx="3727686" cy="4335064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32148" y="3160997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2692510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64168" y="6272568"/>
          <a:ext cx="5556249" cy="1923275"/>
          <a:chOff x="1164168" y="6272568"/>
          <a:chExt cx="5556249" cy="1923275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64168" y="6272568"/>
            <a:ext cx="5556249" cy="1923275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zoomScale="78" zoomScaleNormal="70" workbookViewId="0">
      <selection activeCell="V5" sqref="V5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0"/>
      <c r="D3" s="111"/>
      <c r="E3" s="111"/>
      <c r="F3" s="111"/>
      <c r="G3" s="111"/>
      <c r="H3" s="111"/>
      <c r="I3" s="111"/>
      <c r="J3" s="111"/>
      <c r="K3" s="111"/>
      <c r="L3" s="111"/>
      <c r="M3" s="36"/>
    </row>
    <row r="4" spans="2:13" ht="243.5" customHeight="1" thickBot="1" x14ac:dyDescent="0.25">
      <c r="B4" s="31"/>
      <c r="C4" s="29"/>
      <c r="D4" s="117"/>
      <c r="E4" s="118"/>
      <c r="F4" s="124"/>
      <c r="G4" s="124"/>
      <c r="H4" s="124"/>
      <c r="I4" s="125"/>
      <c r="J4" s="123"/>
      <c r="K4" s="124"/>
      <c r="L4" s="125"/>
      <c r="M4" s="31"/>
    </row>
    <row r="5" spans="2:13" ht="226.5" customHeight="1" thickBot="1" x14ac:dyDescent="0.25">
      <c r="B5" s="31"/>
      <c r="C5" s="30"/>
      <c r="D5" s="48"/>
      <c r="E5" s="49"/>
      <c r="F5" s="112"/>
      <c r="G5" s="113"/>
      <c r="H5" s="113"/>
      <c r="I5" s="114"/>
      <c r="J5" s="112"/>
      <c r="K5" s="113"/>
      <c r="L5" s="114"/>
      <c r="M5" s="31"/>
    </row>
    <row r="6" spans="2:13" ht="26.5" customHeight="1" x14ac:dyDescent="0.2">
      <c r="B6" s="31"/>
      <c r="C6" s="115"/>
      <c r="D6" s="119"/>
      <c r="E6" s="120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16"/>
      <c r="D7" s="110"/>
      <c r="E7" s="111"/>
      <c r="F7" s="34"/>
      <c r="G7" s="44"/>
      <c r="H7" s="126" t="s">
        <v>60</v>
      </c>
      <c r="I7" s="126"/>
      <c r="J7" s="126" t="s">
        <v>61</v>
      </c>
      <c r="K7" s="126"/>
      <c r="L7" s="40"/>
      <c r="M7" s="31"/>
    </row>
    <row r="8" spans="2:13" ht="22" customHeight="1" x14ac:dyDescent="0.2">
      <c r="B8" s="31"/>
      <c r="C8" s="116"/>
      <c r="D8" s="110"/>
      <c r="E8" s="111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16"/>
      <c r="D9" s="110"/>
      <c r="E9" s="111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16"/>
      <c r="D10" s="110"/>
      <c r="E10" s="111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16"/>
      <c r="D11" s="110"/>
      <c r="E11" s="111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16"/>
      <c r="D12" s="110"/>
      <c r="E12" s="111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16"/>
      <c r="D13" s="110"/>
      <c r="E13" s="111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16"/>
      <c r="D14" s="121"/>
      <c r="E14" s="122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16"/>
      <c r="D15" s="117"/>
      <c r="E15" s="118"/>
      <c r="F15" s="112"/>
      <c r="G15" s="113"/>
      <c r="H15" s="113"/>
      <c r="I15" s="113"/>
      <c r="J15" s="113"/>
      <c r="K15" s="113"/>
      <c r="L15" s="114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143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Convergence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Project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Cloud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Dataverse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Architecture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C11" sqref="C11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27" t="s">
        <v>133</v>
      </c>
      <c r="C6" s="128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154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155</v>
      </c>
      <c r="D9" s="105"/>
      <c r="E9" s="105"/>
      <c r="F9" s="106"/>
      <c r="G9" s="105"/>
    </row>
    <row r="10" spans="2:7" x14ac:dyDescent="0.2">
      <c r="B10" s="76" t="s">
        <v>2</v>
      </c>
      <c r="C10" s="79" t="s">
        <v>156</v>
      </c>
      <c r="D10" s="105"/>
      <c r="E10" s="105"/>
      <c r="F10" s="106"/>
      <c r="G10" s="105"/>
    </row>
    <row r="11" spans="2:7" x14ac:dyDescent="0.2">
      <c r="B11" s="76" t="s">
        <v>153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27" t="s">
        <v>135</v>
      </c>
      <c r="C32" s="128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2" t="s">
        <v>5</v>
      </c>
      <c r="D34" s="132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Convergence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Project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2" t="s">
        <v>83</v>
      </c>
      <c r="D49" s="132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Convergence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Project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3" t="s">
        <v>5</v>
      </c>
      <c r="D64" s="133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Cloud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Dataverse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Architecture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3" t="s">
        <v>83</v>
      </c>
      <c r="D79" s="133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Cloud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Dataverse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Architecture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29" t="s">
        <v>6</v>
      </c>
      <c r="D104" s="130"/>
      <c r="E104" s="129" t="s">
        <v>8</v>
      </c>
      <c r="F104" s="131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Convergence</v>
      </c>
      <c r="B19" s="53" cm="1">
        <f t="array" ref="B19">IFERROR(INDEX('rawdata | iteration analysis'!$2:$2, E19), 0)</f>
        <v>0</v>
      </c>
      <c r="D19" s="68" t="str">
        <f>_xlfn.CONCAT("labels_", A19,"_",D$15)</f>
        <v>labels_Convergence_storyPoints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Project</v>
      </c>
      <c r="B20" s="53" cm="1">
        <f t="array" ref="B20">IFERROR(INDEX('rawdata | iteration analysis'!$2:$2, E20), 0)</f>
        <v>0</v>
      </c>
      <c r="D20" s="68" t="str">
        <f>_xlfn.CONCAT("labels_", A20, "_",D$15)</f>
        <v>labels_Project_storyPoints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Convergence</v>
      </c>
      <c r="B31" s="53" cm="1">
        <f t="array" ref="B31">IFERROR(INDEX('rawdata | iteration analysis'!$2:$2, E31), 0)</f>
        <v>0</v>
      </c>
      <c r="D31" s="68" t="str">
        <f t="shared" si="0"/>
        <v>completedLabels_Convergence_storyPoints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Project</v>
      </c>
      <c r="B32" s="53" cm="1">
        <f t="array" ref="B32">IFERROR(INDEX('rawdata | iteration analysis'!$2:$2, E32), 0)</f>
        <v>0</v>
      </c>
      <c r="D32" s="68" t="str">
        <f t="shared" si="0"/>
        <v>completedLabels_Project_storyPoints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Cloud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components_Cloud_storyPoints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Dataverse</v>
      </c>
      <c r="B42" s="88" cm="1">
        <f t="array" ref="B42">IFERROR(INDEX('rawdata | iteration analysis'!$2:$2, E42), 0)</f>
        <v>0</v>
      </c>
      <c r="D42" s="68" t="str">
        <f t="shared" si="1"/>
        <v>components_Dataverse_storyPoints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Architecture</v>
      </c>
      <c r="B43" s="88" cm="1">
        <f t="array" ref="B43">IFERROR(INDEX('rawdata | iteration analysis'!$2:$2, E43), 0)</f>
        <v>0</v>
      </c>
      <c r="D43" s="68" t="str">
        <f t="shared" si="1"/>
        <v>components_Architecture_storyPoints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Cloud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completedComponents_Cloud_storyPoints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Dataverse</v>
      </c>
      <c r="B54" s="88" cm="1">
        <f t="array" ref="B54">IFERROR(INDEX('rawdata | iteration analysis'!$2:$2, E54), 0)</f>
        <v>0</v>
      </c>
      <c r="D54" s="68" t="str">
        <f t="shared" si="2"/>
        <v>completedComponents_Dataverse_storyPoints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Architecture</v>
      </c>
      <c r="B55" s="88" cm="1">
        <f t="array" ref="B55">IFERROR(INDEX('rawdata | iteration analysis'!$2:$2, E55), 0)</f>
        <v>0</v>
      </c>
      <c r="D55" s="68" t="str">
        <f t="shared" si="2"/>
        <v>completedComponents_Architecture_storyPoints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Convergence</v>
      </c>
      <c r="B70" s="53" cm="1">
        <f t="array" ref="B70">IFERROR(INDEX('rawdata | iteration analysis'!$2:$2, E70), 0)</f>
        <v>0</v>
      </c>
      <c r="D70" s="68" t="str">
        <f>_xlfn.CONCAT("labels_", A70,"_",D$66)</f>
        <v>labels_Convergence_count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Project</v>
      </c>
      <c r="B71" s="53" cm="1">
        <f t="array" ref="B71">IFERROR(INDEX('rawdata | iteration analysis'!$2:$2, E71), 0)</f>
        <v>0</v>
      </c>
      <c r="D71" s="68" t="str">
        <f>_xlfn.CONCAT("labels_", A71, "_",D$66)</f>
        <v>labels_Project_count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Convergence</v>
      </c>
      <c r="B82" s="53" cm="1">
        <f t="array" ref="B82">IFERROR(INDEX('rawdata | iteration analysis'!$2:$2, E82), 0)</f>
        <v>0</v>
      </c>
      <c r="D82" s="68" t="str">
        <f t="shared" si="3"/>
        <v>completedLabels_Convergence_count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Project</v>
      </c>
      <c r="B83" s="53" cm="1">
        <f t="array" ref="B83">IFERROR(INDEX('rawdata | iteration analysis'!$2:$2, E83), 0)</f>
        <v>0</v>
      </c>
      <c r="D83" s="68" t="str">
        <f t="shared" si="3"/>
        <v>completedLabels_Project_count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Cloud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components_Cloud_count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Dataverse</v>
      </c>
      <c r="B93" s="88" cm="1">
        <f t="array" ref="B93">IFERROR(INDEX('rawdata | iteration analysis'!$2:$2, E93), 0)</f>
        <v>0</v>
      </c>
      <c r="D93" s="68" t="str">
        <f t="shared" si="4"/>
        <v>components_Dataverse_count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Architecture</v>
      </c>
      <c r="B94" s="88" cm="1">
        <f t="array" ref="B94">IFERROR(INDEX('rawdata | iteration analysis'!$2:$2, E94), 0)</f>
        <v>0</v>
      </c>
      <c r="D94" s="68" t="str">
        <f t="shared" si="4"/>
        <v>components_Architecture_count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Cloud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completedComponents_Cloud_count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Dataverse</v>
      </c>
      <c r="B105" s="88" cm="1">
        <f t="array" ref="B105">IFERROR(INDEX('rawdata | iteration analysis'!$2:$2, E105), 0)</f>
        <v>0</v>
      </c>
      <c r="D105" s="68" t="str">
        <f t="shared" si="5"/>
        <v>completedComponents_Dataverse_count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Architecture</v>
      </c>
      <c r="B106" s="88" cm="1">
        <f t="array" ref="B106">IFERROR(INDEX('rawdata | iteration analysis'!$2:$2, E106), 0)</f>
        <v>0</v>
      </c>
      <c r="D106" s="68" t="str">
        <f t="shared" si="5"/>
        <v>completedComponents_Architecture_count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CL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1" spans="1:90" x14ac:dyDescent="0.2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4"/>
      <c r="BI1" s="134"/>
      <c r="BJ1" s="134"/>
      <c r="BK1" s="134"/>
      <c r="BL1" s="134"/>
      <c r="BM1" s="134"/>
      <c r="BN1" s="134"/>
      <c r="BO1" s="134"/>
      <c r="BP1" s="134"/>
      <c r="BQ1" s="134"/>
      <c r="BR1" s="134"/>
      <c r="BS1" s="134"/>
      <c r="BT1" s="134"/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4"/>
      <c r="CF1" s="134"/>
      <c r="CG1" s="134"/>
      <c r="CH1" s="134"/>
      <c r="CI1" s="134"/>
      <c r="CJ1" s="134"/>
      <c r="CK1" s="134"/>
      <c r="CL1" s="134"/>
    </row>
    <row r="2" spans="1:90" x14ac:dyDescent="0.2">
      <c r="A2" s="134"/>
      <c r="B2" s="135"/>
      <c r="C2" s="136"/>
      <c r="D2" s="136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5"/>
      <c r="AT2" s="135"/>
      <c r="AU2" s="135"/>
      <c r="AV2" s="135"/>
      <c r="AW2" s="135"/>
      <c r="AX2" s="135"/>
      <c r="AY2" s="135"/>
      <c r="AZ2" s="135"/>
      <c r="BA2" s="135"/>
      <c r="BB2" s="135"/>
      <c r="BC2" s="135"/>
      <c r="BD2" s="135"/>
      <c r="BE2" s="135"/>
      <c r="BF2" s="135"/>
      <c r="BG2" s="135"/>
      <c r="BH2" s="135"/>
      <c r="BI2" s="135"/>
      <c r="BJ2" s="135"/>
      <c r="BK2" s="135"/>
      <c r="BL2" s="135"/>
      <c r="BM2" s="135"/>
      <c r="BN2" s="135"/>
      <c r="BO2" s="135"/>
      <c r="BP2" s="135"/>
      <c r="BQ2" s="135"/>
      <c r="BR2" s="135"/>
      <c r="BS2" s="135"/>
      <c r="BT2" s="135"/>
      <c r="BU2" s="135"/>
      <c r="BV2" s="135"/>
      <c r="BW2" s="135"/>
      <c r="BX2" s="135"/>
      <c r="BY2" s="135"/>
      <c r="BZ2" s="135"/>
      <c r="CA2" s="135"/>
      <c r="CB2" s="135"/>
      <c r="CC2" s="135"/>
      <c r="CD2" s="135"/>
      <c r="CE2" s="135"/>
      <c r="CF2" s="135"/>
      <c r="CG2" s="135"/>
      <c r="CH2" s="135"/>
      <c r="CI2" s="135"/>
      <c r="CJ2" s="135"/>
      <c r="CK2" s="135"/>
      <c r="CL2" s="13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2024-08-07T04:54:01Z</dcterms:modified>
</cp:coreProperties>
</file>