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2E37A736-2D3F-9543-A052-34ED1516CD18}" xr6:coauthVersionLast="47" xr6:coauthVersionMax="47" xr10:uidLastSave="{00000000-0000-0000-0000-000000000000}"/>
  <bookViews>
    <workbookView xWindow="0" yWindow="0" windowWidth="68800" windowHeight="28800" tabRatio="783" activeTab="6" xr2:uid="{00000000-000D-0000-FFFF-FFFF00000000}"/>
  </bookViews>
  <sheets>
    <sheet name="Sprint Summary (basics) " sheetId="32" r:id="rId1"/>
    <sheet name="Sprint Summary (metadata)" sheetId="20" r:id="rId2"/>
    <sheet name="Sprint Summary (parents)" sheetId="31" r:id="rId3"/>
    <sheet name="Sprint Summary | data" sheetId="19" r:id="rId4"/>
    <sheet name="Calculated Stats" sheetId="30" r:id="rId5"/>
    <sheet name="processed | data" sheetId="29" r:id="rId6"/>
    <sheet name="rawdata | iteration analysis" sheetId="28" r:id="rId7"/>
  </sheets>
  <externalReferences>
    <externalReference r:id="rId8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" i="29" l="1"/>
  <c r="D200" i="29"/>
  <c r="C178" i="30" s="1"/>
  <c r="B178" i="30"/>
  <c r="B179" i="30"/>
  <c r="B180" i="30"/>
  <c r="B181" i="30"/>
  <c r="B182" i="30"/>
  <c r="B183" i="30"/>
  <c r="B184" i="30"/>
  <c r="B185" i="30"/>
  <c r="B186" i="30"/>
  <c r="C186" i="30"/>
  <c r="B187" i="30"/>
  <c r="B188" i="30"/>
  <c r="B189" i="30"/>
  <c r="B190" i="30"/>
  <c r="B191" i="30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1" i="29"/>
  <c r="C179" i="30" s="1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D209" i="29"/>
  <c r="C187" i="30" s="1"/>
  <c r="D210" i="29"/>
  <c r="C188" i="30" s="1"/>
  <c r="D211" i="29"/>
  <c r="C189" i="30" s="1"/>
  <c r="D212" i="29"/>
  <c r="C190" i="30" s="1"/>
  <c r="D213" i="29"/>
  <c r="C191" i="30" s="1"/>
  <c r="B201" i="29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A174" i="29" l="1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E179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D177" i="29"/>
  <c r="C155" i="30" s="1"/>
  <c r="E193" i="29"/>
  <c r="E185" i="29"/>
  <c r="E177" i="29"/>
  <c r="B193" i="29"/>
  <c r="B171" i="30" s="1"/>
  <c r="B185" i="29"/>
  <c r="B163" i="30" s="1"/>
  <c r="B177" i="29"/>
  <c r="B155" i="30" s="1"/>
  <c r="D184" i="29"/>
  <c r="C162" i="30" s="1"/>
  <c r="D176" i="29"/>
  <c r="C154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I13" i="32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G11" i="32" s="1"/>
  <c r="E122" i="29"/>
  <c r="B122" i="29" s="1" a="1"/>
  <c r="B122" i="29" s="1"/>
  <c r="C111" i="30" s="1"/>
  <c r="R23" i="19" s="1"/>
  <c r="G13" i="32" s="1"/>
  <c r="E127" i="29"/>
  <c r="B127" i="29" s="1" a="1"/>
  <c r="B127" i="29" s="1"/>
  <c r="E106" i="30" s="1"/>
  <c r="T18" i="19" s="1"/>
  <c r="I8" i="32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I11" i="32" s="1"/>
  <c r="L10" i="31" l="1"/>
  <c r="K10" i="32"/>
  <c r="L9" i="31"/>
  <c r="K9" i="32"/>
  <c r="J11" i="20"/>
  <c r="J11" i="31"/>
  <c r="J8" i="20"/>
  <c r="J8" i="31"/>
  <c r="J13" i="20"/>
  <c r="J13" i="31"/>
  <c r="H13" i="20"/>
  <c r="H13" i="31"/>
  <c r="H11" i="20"/>
  <c r="H11" i="31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I10" i="32" s="1"/>
  <c r="J43" i="19"/>
  <c r="T19" i="19"/>
  <c r="I9" i="32" s="1"/>
  <c r="J62" i="19"/>
  <c r="R19" i="19"/>
  <c r="G9" i="32" s="1"/>
  <c r="J63" i="19"/>
  <c r="J20" i="19"/>
  <c r="R18" i="19"/>
  <c r="G8" i="32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H9" i="20" l="1"/>
  <c r="H9" i="31"/>
  <c r="J9" i="20"/>
  <c r="J9" i="31"/>
  <c r="J10" i="20"/>
  <c r="J10" i="31"/>
  <c r="H8" i="20"/>
  <c r="H8" i="31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G10" i="32" s="1"/>
  <c r="T22" i="19"/>
  <c r="I12" i="32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H10" i="20" l="1"/>
  <c r="H10" i="31"/>
  <c r="J12" i="20"/>
  <c r="J12" i="31"/>
  <c r="C130" i="30"/>
  <c r="B29" i="19" s="1"/>
  <c r="C98" i="30"/>
  <c r="C99" i="30"/>
  <c r="U22" i="19"/>
  <c r="J12" i="32" s="1"/>
  <c r="R22" i="19"/>
  <c r="G12" i="32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K12" i="20" l="1"/>
  <c r="K12" i="31"/>
  <c r="H12" i="20"/>
  <c r="H12" i="31"/>
  <c r="C100" i="30"/>
  <c r="J72" i="19"/>
  <c r="C131" i="30"/>
  <c r="J59" i="19" s="1"/>
  <c r="U21" i="19"/>
  <c r="J11" i="32" s="1"/>
  <c r="S19" i="19"/>
  <c r="H9" i="32" s="1"/>
  <c r="S22" i="19"/>
  <c r="H12" i="32" s="1"/>
  <c r="U23" i="19"/>
  <c r="J13" i="32" s="1"/>
  <c r="S20" i="19"/>
  <c r="H10" i="32" s="1"/>
  <c r="U19" i="19"/>
  <c r="J9" i="32" s="1"/>
  <c r="S21" i="19"/>
  <c r="H11" i="32" s="1"/>
  <c r="S23" i="19"/>
  <c r="H13" i="32" s="1"/>
  <c r="U20" i="19"/>
  <c r="J10" i="32" s="1"/>
  <c r="F106" i="30"/>
  <c r="E97" i="30"/>
  <c r="E98" i="30"/>
  <c r="D106" i="30"/>
  <c r="B27" i="19"/>
  <c r="C29" i="19" s="1"/>
  <c r="L9" i="20"/>
  <c r="L10" i="20"/>
  <c r="K11" i="20" l="1"/>
  <c r="K11" i="31"/>
  <c r="K9" i="20"/>
  <c r="K9" i="31"/>
  <c r="I10" i="20"/>
  <c r="I10" i="31"/>
  <c r="K13" i="20"/>
  <c r="K13" i="31"/>
  <c r="K10" i="20"/>
  <c r="K10" i="31"/>
  <c r="I13" i="20"/>
  <c r="I13" i="31"/>
  <c r="I11" i="20"/>
  <c r="I11" i="31"/>
  <c r="I12" i="20"/>
  <c r="I12" i="31"/>
  <c r="I9" i="20"/>
  <c r="I9" i="31"/>
  <c r="U18" i="19"/>
  <c r="J8" i="32" s="1"/>
  <c r="S18" i="19"/>
  <c r="H8" i="32" s="1"/>
  <c r="E100" i="30"/>
  <c r="C30" i="19"/>
  <c r="C31" i="19"/>
  <c r="K8" i="20" l="1"/>
  <c r="K8" i="31"/>
  <c r="I8" i="20"/>
  <c r="I8" i="31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<sst xmlns="http://schemas.openxmlformats.org/spreadsheetml/2006/main" count="309" uniqueCount="163">
  <si>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</si>
  <si>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</si>
  <si>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</si>
  <si>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</si>
  <si>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</si>
  <si>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</si>
  <si>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</si>
  <si>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</si>
  <si>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</si>
  <si>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</si>
  <si>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</si>
  <si>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</si>
  <si>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</si>
  <si>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</si>
  <si>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</si>
  <si>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</si>
  <si>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</si>
  <si>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</si>
  <si>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</si>
  <si>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</si>
  <si>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</si>
  <si>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</si>
  <si>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</si>
  <si>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</si>
  <si>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</si>
  <si>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</si>
  <si>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</si>
  <si>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</si>
  <si>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</si>
  <si>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</si>
  <si>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</si>
  <si>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</si>
  <si>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</si>
  <si>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</si>
  <si>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</si>
  <si>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</si>
  <si>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</si>
  <si>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</si>
  <si>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</si>
  <si>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</si>
  <si>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</si>
  <si>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</si>
  <si>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</si>
  <si>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</si>
  <si>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</si>
  <si>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</si>
  <si>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</si>
  <si>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</si>
  <si>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</si>
  <si>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</si>
  <si>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</si>
  <si>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</si>
  <si>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</si>
  <si>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</si>
  <si>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</si>
  <si>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</si>
  <si>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</si>
  <si>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</si>
  <si>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</si>
  <si>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</si>
  <si>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</si>
  <si>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</si>
  <si>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</si>
  <si>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</si>
  <si>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</si>
  <si>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</si>
  <si>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</si>
  <si>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</si>
  <si>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</si>
  <si>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</si>
  <si>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</si>
  <si>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</si>
  <si>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</si>
  <si>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</si>
  <si>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</si>
  <si>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</si>
  <si>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</si>
  <si>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</si>
  <si>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</si>
  <si>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</si>
  <si>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</si>
  <si>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</si>
  <si>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</si>
  <si>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</si>
  <si>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</si>
  <si>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</si>
  <si>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</si>
  <si>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</si>
  <si>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</si>
  <si>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</si>
  <si>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</si>
  <si>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</si>
  <si>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</si>
  <si>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</si>
  <si>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</si>
  <si>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</si>
  <si>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</si>
  <si>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</si>
  <si>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</si>
  <si>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</si>
  <si>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</si>
  <si>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</si>
  <si>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</si>
  <si>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</si>
  <si>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</si>
  <si>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</si>
  <si>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</si>
  <si>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</si>
  <si>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</si>
  <si>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</si>
  <si>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</si>
  <si>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</si>
  <si>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</si>
  <si>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</si>
  <si>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</si>
  <si>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</si>
  <si>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</si>
  <si>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</si>
  <si>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</si>
  <si>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</si>
  <si>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</si>
  <si>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</si>
  <si>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</si>
  <si>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</si>
  <si>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</si>
  <si>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</si>
  <si>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</si>
  <si>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</si>
  <si>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</si>
  <si>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</si>
  <si>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</si>
  <si>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</si>
  <si>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</si>
  <si>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</si>
  <si>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</si>
  <si>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</si>
  <si>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</si>
  <si>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</si>
  <si>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</si>
  <si>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</si>
  <si>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</si>
  <si>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</si>
  <si>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</si>
  <si>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</si>
  <si>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</si>
  <si>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</si>
  <si>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</si>
  <si>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</si>
  <si>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</si>
  <si>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</si>
  <si>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</si>
  <si>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</si>
  <si>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</si>
  <si>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</si>
  <si>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</si>
  <si>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</si>
  <si>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</si>
  <si>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</si>
  <si>
    <t>Parents</t>
  </si>
  <si>
    <t>raw data</t>
  </si>
  <si>
    <t>parent summary</t>
  </si>
  <si>
    <t>issue count</t>
  </si>
  <si>
    <t>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</si>
</sst>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54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20" fillId="0" borderId="0" xfId="0" applyFont="1"/>
    <xf numFmtId="0" fontId="19" fillId="0" borderId="0" xfId="0" applyFont="1"/>
    <xf numFmtId="0" fontId="21" fillId="30" borderId="0" xfId="0" applyFont="1" applyFill="1"/>
    <xf numFmtId="0" fontId="21" fillId="30" borderId="0" xfId="0" applyFont="1" applyFill="1" applyAlignment="1">
      <alignment horizontal="right"/>
    </xf>
    <xf numFmtId="0" fontId="7" fillId="24" borderId="0" xfId="0" applyFont="1" applyFill="1"/>
    <xf numFmtId="0" fontId="0" fillId="31" borderId="0" xfId="0" applyFill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  <xf numFmtId="14" fontId="19" fillId="0" borderId="0" xfId="0" applyNumberFormat="1" applyFont="1"/>
    <xf numFmtId="0" fontId="0" fillId="14" borderId="5" xfId="0" applyFill="1" applyBorder="1"/>
    <xf numFmtId="0" fontId="0" fillId="14" borderId="6" xfId="0" applyFill="1" applyBorder="1"/>
    <xf numFmtId="0" fontId="0" fillId="18" borderId="0" xfId="0" applyFill="1" applyBorder="1"/>
    <xf numFmtId="0" fontId="0" fillId="14" borderId="16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/>
    <xf numFmtId="0" fontId="0" fillId="14" borderId="9" xfId="0" applyFill="1" applyBorder="1" applyAlignment="1"/>
    <xf numFmtId="0" fontId="0" fillId="14" borderId="15" xfId="0" applyFill="1" applyBorder="1" applyAlignment="1"/>
    <xf numFmtId="0" fontId="0" fillId="14" borderId="11" xfId="0" applyFill="1" applyBorder="1" applyAlignment="1"/>
    <xf numFmtId="0" fontId="0" fillId="14" borderId="0" xfId="0" applyFill="1" applyBorder="1" applyAlignment="1"/>
    <xf numFmtId="0" fontId="0" fillId="14" borderId="16" xfId="0" applyFill="1" applyBorder="1" applyAlignment="1"/>
    <xf numFmtId="0" fontId="0" fillId="14" borderId="0" xfId="0" applyFill="1" applyBorder="1" applyAlignment="1">
      <alignment horizontal="center"/>
    </xf>
  </cellXfs>
  <cellStyles count="2">
    <cellStyle name="Input" xfId="1" builtinId="20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29-0047-B823-3E95AD9AD2CB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29-0047-B823-3E95AD9AD2CB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29-0047-B823-3E95AD9AD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13-FB43-BD80-793D78C48DA3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3-FB43-BD80-793D78C48DA3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3-FB43-BD80-793D78C48D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9D-1443-92B7-B516D0B9475A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9D-1443-92B7-B516D0B947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94-DF4B-92F1-880B374169BF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94-DF4B-92F1-880B374169BF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94-DF4B-92F1-880B37416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7-554D-99CB-708C8501D909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7-554D-99CB-708C8501D909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87-554D-99CB-708C8501D9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D-C04D-963C-BBC5B3ECFCFD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D-C04D-963C-BBC5B3ECFC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Story</a:t>
            </a:r>
            <a:r>
              <a:rPr lang="en-GB" baseline="0"/>
              <a:t> Points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606735871794334E-2"/>
          <c:y val="9.1105175518394629E-2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FA-4C41-936B-C3C7BD6308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FA-4C41-936B-C3C7BD6308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FA-4C41-936B-C3C7BD6308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1FA-4C41-936B-C3C7BD6308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1FA-4C41-936B-C3C7BD6308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1FA-4C41-936B-C3C7BD6308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1FA-4C41-936B-C3C7BD6308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1FA-4C41-936B-C3C7BD63083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1FA-4C41-936B-C3C7BD63083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1FA-4C41-936B-C3C7BD6308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1FA-4C41-936B-C3C7BD6308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1FA-4C41-936B-C3C7BD63083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FA-4C41-936B-C3C7BD63083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FA-4C41-936B-C3C7BD63083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FA-4C41-936B-C3C7BD630832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FA-4C41-936B-C3C7BD6308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FA-4C41-936B-C3C7BD6308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FA-4C41-936B-C3C7BD63083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FA-4C41-936B-C3C7BD630832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FA-4C41-936B-C3C7BD630832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FA-4C41-936B-C3C7BD630832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FA-4C41-936B-C3C7BD630832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1FA-4C41-936B-C3C7BD630832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1FA-4C41-936B-C3C7BD630832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1FA-4C41-936B-C3C7BD630832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1FA-4C41-936B-C3C7BD630832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1FA-4C41-936B-C3C7BD630832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1FA-4C41-936B-C3C7BD630832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1FA-4C41-936B-C3C7BD630832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1FA-4C41-936B-C3C7BD630832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1FA-4C41-936B-C3C7BD630832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1FA-4C41-936B-C3C7BD630832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1FA-4C41-936B-C3C7BD630832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1FA-4C41-936B-C3C7BD630832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1FA-4C41-936B-C3C7BD630832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1FA-4C41-936B-C3C7BD630832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1FA-4C41-936B-C3C7BD630832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1FA-4C41-936B-C3C7BD630832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1FA-4C41-936B-C3C7BD630832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1FA-4C41-936B-C3C7BD630832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01FA-4C41-936B-C3C7BD630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E0-E54E-AE02-9A7D3F49AC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E0-E54E-AE02-9A7D3F49AC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E0-E54E-AE02-9A7D3F49AC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9E0-E54E-AE02-9A7D3F49AC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9E0-E54E-AE02-9A7D3F49AC5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9E0-E54E-AE02-9A7D3F49AC5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9E0-E54E-AE02-9A7D3F49AC5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9E0-E54E-AE02-9A7D3F49AC5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9E0-E54E-AE02-9A7D3F49AC5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9E0-E54E-AE02-9A7D3F49AC5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9E0-E54E-AE02-9A7D3F49AC5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9E0-E54E-AE02-9A7D3F49AC5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9E0-E54E-AE02-9A7D3F49AC5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9E0-E54E-AE02-9A7D3F49AC5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9E0-E54E-AE02-9A7D3F49AC5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9E0-E54E-AE02-9A7D3F49AC5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9E0-E54E-AE02-9A7D3F49AC5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9E0-E54E-AE02-9A7D3F49AC5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9E0-E54E-AE02-9A7D3F49AC5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9E0-E54E-AE02-9A7D3F49AC5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9E0-E54E-AE02-9A7D3F49AC5F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9E0-E54E-AE02-9A7D3F49AC5F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9E0-E54E-AE02-9A7D3F49AC5F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9E0-E54E-AE02-9A7D3F49AC5F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9E0-E54E-AE02-9A7D3F49AC5F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9E0-E54E-AE02-9A7D3F49AC5F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9E0-E54E-AE02-9A7D3F49AC5F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9E0-E54E-AE02-9A7D3F49AC5F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9E0-E54E-AE02-9A7D3F49AC5F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9E0-E54E-AE02-9A7D3F49AC5F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9E0-E54E-AE02-9A7D3F49AC5F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9E0-E54E-AE02-9A7D3F49AC5F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9E0-E54E-AE02-9A7D3F49AC5F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9E0-E54E-AE02-9A7D3F49AC5F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9E0-E54E-AE02-9A7D3F49AC5F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9E0-E54E-AE02-9A7D3F49AC5F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9E0-E54E-AE02-9A7D3F49AC5F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9E0-E54E-AE02-9A7D3F49AC5F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9E0-E54E-AE02-9A7D3F49AC5F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9E0-E54E-AE02-9A7D3F49AC5F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69E0-E54E-AE02-9A7D3F49A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7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4" Type="http://schemas.openxmlformats.org/officeDocument/2006/relationships/image" Target="../media/image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6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image" Target="../media/image1.png"/><Relationship Id="rId11" Type="http://schemas.openxmlformats.org/officeDocument/2006/relationships/chart" Target="../charts/chart10.xml"/><Relationship Id="rId5" Type="http://schemas.openxmlformats.org/officeDocument/2006/relationships/chart" Target="../charts/chart8.xml"/><Relationship Id="rId10" Type="http://schemas.openxmlformats.org/officeDocument/2006/relationships/chart" Target="../charts/chart9.xml"/><Relationship Id="rId4" Type="http://schemas.openxmlformats.org/officeDocument/2006/relationships/chart" Target="../charts/chart7.xml"/><Relationship Id="rId9" Type="http://schemas.openxmlformats.org/officeDocument/2006/relationships/image" Target="../media/image4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1.png"/><Relationship Id="rId7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image" Target="../media/image4.svg"/><Relationship Id="rId11" Type="http://schemas.openxmlformats.org/officeDocument/2006/relationships/chart" Target="../charts/chart15.xml"/><Relationship Id="rId5" Type="http://schemas.openxmlformats.org/officeDocument/2006/relationships/image" Target="../media/image3.png"/><Relationship Id="rId10" Type="http://schemas.openxmlformats.org/officeDocument/2006/relationships/chart" Target="../charts/chart14.xml"/><Relationship Id="rId4" Type="http://schemas.openxmlformats.org/officeDocument/2006/relationships/image" Target="../media/image2.svg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122464</xdr:rowOff>
    </xdr:from>
    <xdr:to>
      <xdr:col>5</xdr:col>
      <xdr:colOff>470035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1E4FB16-28AB-5340-B57A-4605C6D5DDC7}"/>
            </a:ext>
          </a:extLst>
        </xdr:cNvPr>
        <xdr:cNvSpPr txBox="1"/>
      </xdr:nvSpPr>
      <xdr:spPr>
        <a:xfrm>
          <a:off x="786406" y="655774"/>
          <a:ext cx="6386156" cy="97019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813527</xdr:colOff>
      <xdr:row>2</xdr:row>
      <xdr:rowOff>1113348</xdr:rowOff>
    </xdr:from>
    <xdr:to>
      <xdr:col>2</xdr:col>
      <xdr:colOff>2024772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95D37891-9B74-B244-AF82-BBA62B1F1366}"/>
            </a:ext>
          </a:extLst>
        </xdr:cNvPr>
        <xdr:cNvSpPr txBox="1"/>
      </xdr:nvSpPr>
      <xdr:spPr>
        <a:xfrm>
          <a:off x="1599933" y="1773206"/>
          <a:ext cx="1211245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360216</xdr:colOff>
      <xdr:row>2</xdr:row>
      <xdr:rowOff>30842</xdr:rowOff>
    </xdr:from>
    <xdr:to>
      <xdr:col>10</xdr:col>
      <xdr:colOff>2605316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C4234C5C-D154-094E-BEFD-A0CD9717BC7A}"/>
            </a:ext>
          </a:extLst>
        </xdr:cNvPr>
        <xdr:cNvSpPr txBox="1"/>
      </xdr:nvSpPr>
      <xdr:spPr>
        <a:xfrm>
          <a:off x="19905516" y="691242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10</xdr:col>
      <xdr:colOff>66221</xdr:colOff>
      <xdr:row>2</xdr:row>
      <xdr:rowOff>1293585</xdr:rowOff>
    </xdr:from>
    <xdr:to>
      <xdr:col>10</xdr:col>
      <xdr:colOff>2600325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A8D36A6D-E018-9C46-B82A-DF5E68BFFCD7}"/>
            </a:ext>
          </a:extLst>
        </xdr:cNvPr>
        <xdr:cNvSpPr txBox="1"/>
      </xdr:nvSpPr>
      <xdr:spPr>
        <a:xfrm>
          <a:off x="19611521" y="1953985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410224</xdr:colOff>
      <xdr:row>4</xdr:row>
      <xdr:rowOff>233358</xdr:rowOff>
    </xdr:from>
    <xdr:to>
      <xdr:col>3</xdr:col>
      <xdr:colOff>2222743</xdr:colOff>
      <xdr:row>4</xdr:row>
      <xdr:rowOff>2484432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1263491-82BC-6E47-8592-38BE8C9C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157389</xdr:colOff>
      <xdr:row>4</xdr:row>
      <xdr:rowOff>2147055</xdr:rowOff>
    </xdr:from>
    <xdr:to>
      <xdr:col>3</xdr:col>
      <xdr:colOff>2256972</xdr:colOff>
      <xdr:row>5</xdr:row>
      <xdr:rowOff>245835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32168C7-9A94-D349-8118-20C62E5839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4397377</xdr:colOff>
      <xdr:row>3</xdr:row>
      <xdr:rowOff>1435100</xdr:rowOff>
    </xdr:from>
    <xdr:to>
      <xdr:col>2</xdr:col>
      <xdr:colOff>4914901</xdr:colOff>
      <xdr:row>3</xdr:row>
      <xdr:rowOff>1819275</xdr:rowOff>
    </xdr:to>
    <xdr:sp macro="" textlink="'Sprint Summary | data'!J16">
      <xdr:nvSpPr>
        <xdr:cNvPr id="18" name="TextBox 17">
          <a:extLst>
            <a:ext uri="{FF2B5EF4-FFF2-40B4-BE49-F238E27FC236}">
              <a16:creationId xmlns:a16="http://schemas.microsoft.com/office/drawing/2014/main" id="{F353C04F-6042-DA45-B133-66D29B194137}"/>
            </a:ext>
          </a:extLst>
        </xdr:cNvPr>
        <xdr:cNvSpPr txBox="1"/>
      </xdr:nvSpPr>
      <xdr:spPr>
        <a:xfrm>
          <a:off x="10683877" y="3835400"/>
          <a:ext cx="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4381502</xdr:colOff>
      <xdr:row>3</xdr:row>
      <xdr:rowOff>2238375</xdr:rowOff>
    </xdr:from>
    <xdr:to>
      <xdr:col>2</xdr:col>
      <xdr:colOff>4892676</xdr:colOff>
      <xdr:row>3</xdr:row>
      <xdr:rowOff>2616200</xdr:rowOff>
    </xdr:to>
    <xdr:sp macro="" textlink="'Sprint Summary | data'!J16">
      <xdr:nvSpPr>
        <xdr:cNvPr id="19" name="TextBox 18">
          <a:extLst>
            <a:ext uri="{FF2B5EF4-FFF2-40B4-BE49-F238E27FC236}">
              <a16:creationId xmlns:a16="http://schemas.microsoft.com/office/drawing/2014/main" id="{EB2DE9BF-4465-F449-A92D-0E88CF300E0C}"/>
            </a:ext>
          </a:extLst>
        </xdr:cNvPr>
        <xdr:cNvSpPr txBox="1"/>
      </xdr:nvSpPr>
      <xdr:spPr>
        <a:xfrm>
          <a:off x="10680702" y="4638675"/>
          <a:ext cx="3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4</xdr:row>
      <xdr:rowOff>91016</xdr:rowOff>
    </xdr:from>
    <xdr:to>
      <xdr:col>2</xdr:col>
      <xdr:colOff>2559050</xdr:colOff>
      <xdr:row>4</xdr:row>
      <xdr:rowOff>627591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403C124B-786B-2849-8570-3DB710A3D2D8}"/>
            </a:ext>
          </a:extLst>
        </xdr:cNvPr>
        <xdr:cNvGrpSpPr/>
      </xdr:nvGrpSpPr>
      <xdr:grpSpPr>
        <a:xfrm>
          <a:off x="884557" y="5150696"/>
          <a:ext cx="2466973" cy="536575"/>
          <a:chOff x="1920877" y="1854200"/>
          <a:chExt cx="2470148" cy="536575"/>
        </a:xfrm>
      </xdr:grpSpPr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F79A0DB-AD86-F986-5B38-FFD901A569F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939EF97E-34C1-228B-6BB6-32CA376D4DD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8</xdr:col>
      <xdr:colOff>88414</xdr:colOff>
      <xdr:row>3</xdr:row>
      <xdr:rowOff>76567</xdr:rowOff>
    </xdr:from>
    <xdr:to>
      <xdr:col>10</xdr:col>
      <xdr:colOff>457933</xdr:colOff>
      <xdr:row>3</xdr:row>
      <xdr:rowOff>619492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C4C3C3A-8EE1-0547-9F54-998C1C9DAC79}"/>
            </a:ext>
          </a:extLst>
        </xdr:cNvPr>
        <xdr:cNvGrpSpPr/>
      </xdr:nvGrpSpPr>
      <xdr:grpSpPr>
        <a:xfrm>
          <a:off x="10990094" y="2484487"/>
          <a:ext cx="1934159" cy="542925"/>
          <a:chOff x="1920877" y="1854200"/>
          <a:chExt cx="1808134" cy="536575"/>
        </a:xfrm>
      </xdr:grpSpPr>
      <xdr:sp macro="" textlink="">
        <xdr:nvSpPr>
          <xdr:cNvPr id="52" name="TextBox 51">
            <a:extLst>
              <a:ext uri="{FF2B5EF4-FFF2-40B4-BE49-F238E27FC236}">
                <a16:creationId xmlns:a16="http://schemas.microsoft.com/office/drawing/2014/main" id="{E74B23A8-2D45-DDBB-6608-0C082071E917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B025948A-500D-2347-0930-095DCB3362C5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5</xdr:col>
      <xdr:colOff>1605938</xdr:colOff>
      <xdr:row>3</xdr:row>
      <xdr:rowOff>77298</xdr:rowOff>
    </xdr:from>
    <xdr:to>
      <xdr:col>7</xdr:col>
      <xdr:colOff>696056</xdr:colOff>
      <xdr:row>3</xdr:row>
      <xdr:rowOff>620223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062EACB4-D8A8-764E-A702-A8C9ED9364F7}"/>
            </a:ext>
          </a:extLst>
        </xdr:cNvPr>
        <xdr:cNvGrpSpPr/>
      </xdr:nvGrpSpPr>
      <xdr:grpSpPr>
        <a:xfrm>
          <a:off x="8321698" y="2485218"/>
          <a:ext cx="2483558" cy="542925"/>
          <a:chOff x="2623745" y="1854200"/>
          <a:chExt cx="1815534" cy="536575"/>
        </a:xfrm>
      </xdr:grpSpPr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7B6A4F06-681D-F76B-1EC0-A9CD2969B963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AC91679D-CB50-A26A-7C6C-08DD81C7B058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55210</xdr:colOff>
      <xdr:row>3</xdr:row>
      <xdr:rowOff>84404</xdr:rowOff>
    </xdr:from>
    <xdr:to>
      <xdr:col>2</xdr:col>
      <xdr:colOff>2755906</xdr:colOff>
      <xdr:row>3</xdr:row>
      <xdr:rowOff>620979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363A2C23-A951-E94C-B032-D998F7BB12AD}"/>
            </a:ext>
          </a:extLst>
        </xdr:cNvPr>
        <xdr:cNvGrpSpPr/>
      </xdr:nvGrpSpPr>
      <xdr:grpSpPr>
        <a:xfrm>
          <a:off x="847690" y="2492324"/>
          <a:ext cx="2700696" cy="536575"/>
          <a:chOff x="1920877" y="1854200"/>
          <a:chExt cx="2470148" cy="536575"/>
        </a:xfrm>
      </xdr:grpSpPr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BA9DA922-0378-D87F-9579-FB35BEA8D9A4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2C9FC47C-8D9C-7FAC-DBE7-252DB7DCADE8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2</xdr:col>
      <xdr:colOff>1291034</xdr:colOff>
      <xdr:row>3</xdr:row>
      <xdr:rowOff>1154298</xdr:rowOff>
    </xdr:from>
    <xdr:to>
      <xdr:col>2</xdr:col>
      <xdr:colOff>2314454</xdr:colOff>
      <xdr:row>3</xdr:row>
      <xdr:rowOff>1482116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F211D7F5-5669-444D-9BD4-6785A4168E17}"/>
            </a:ext>
          </a:extLst>
        </xdr:cNvPr>
        <xdr:cNvSpPr txBox="1"/>
      </xdr:nvSpPr>
      <xdr:spPr>
        <a:xfrm>
          <a:off x="2078434" y="3558831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2</xdr:col>
      <xdr:colOff>1305597</xdr:colOff>
      <xdr:row>3</xdr:row>
      <xdr:rowOff>1562286</xdr:rowOff>
    </xdr:from>
    <xdr:to>
      <xdr:col>2</xdr:col>
      <xdr:colOff>2326360</xdr:colOff>
      <xdr:row>3</xdr:row>
      <xdr:rowOff>1890104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C188F28-6011-E649-879F-B299B6B7D5DF}"/>
            </a:ext>
          </a:extLst>
        </xdr:cNvPr>
        <xdr:cNvSpPr txBox="1"/>
      </xdr:nvSpPr>
      <xdr:spPr>
        <a:xfrm>
          <a:off x="2092997" y="3966819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2</xdr:col>
      <xdr:colOff>2284314</xdr:colOff>
      <xdr:row>3</xdr:row>
      <xdr:rowOff>1118578</xdr:rowOff>
    </xdr:from>
    <xdr:to>
      <xdr:col>3</xdr:col>
      <xdr:colOff>642183</xdr:colOff>
      <xdr:row>3</xdr:row>
      <xdr:rowOff>1544586</xdr:rowOff>
    </xdr:to>
    <xdr:sp macro="" textlink="'Sprint Summary | data'!N9">
      <xdr:nvSpPr>
        <xdr:cNvPr id="64" name="TextBox 63">
          <a:extLst>
            <a:ext uri="{FF2B5EF4-FFF2-40B4-BE49-F238E27FC236}">
              <a16:creationId xmlns:a16="http://schemas.microsoft.com/office/drawing/2014/main" id="{F47E22F1-F8C4-9448-9E0F-8F30BB1165AF}"/>
            </a:ext>
          </a:extLst>
        </xdr:cNvPr>
        <xdr:cNvSpPr txBox="1"/>
      </xdr:nvSpPr>
      <xdr:spPr>
        <a:xfrm>
          <a:off x="3071714" y="3523111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2421631</xdr:colOff>
      <xdr:row>3</xdr:row>
      <xdr:rowOff>1514660</xdr:rowOff>
    </xdr:from>
    <xdr:to>
      <xdr:col>3</xdr:col>
      <xdr:colOff>499940</xdr:colOff>
      <xdr:row>3</xdr:row>
      <xdr:rowOff>1926255</xdr:rowOff>
    </xdr:to>
    <xdr:sp macro="" textlink="'Sprint Summary | data'!N10">
      <xdr:nvSpPr>
        <xdr:cNvPr id="65" name="TextBox 64">
          <a:extLst>
            <a:ext uri="{FF2B5EF4-FFF2-40B4-BE49-F238E27FC236}">
              <a16:creationId xmlns:a16="http://schemas.microsoft.com/office/drawing/2014/main" id="{5F2F05C9-8D86-C646-A992-37B2AA5B3AAE}"/>
            </a:ext>
          </a:extLst>
        </xdr:cNvPr>
        <xdr:cNvSpPr txBox="1"/>
      </xdr:nvSpPr>
      <xdr:spPr>
        <a:xfrm>
          <a:off x="3209031" y="3919193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2345058</xdr:colOff>
      <xdr:row>3</xdr:row>
      <xdr:rowOff>1517617</xdr:rowOff>
    </xdr:from>
    <xdr:to>
      <xdr:col>6</xdr:col>
      <xdr:colOff>364597</xdr:colOff>
      <xdr:row>3</xdr:row>
      <xdr:rowOff>2789100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9CABCC41-D6F6-CD44-95DD-9FC09703F3D8}"/>
            </a:ext>
          </a:extLst>
        </xdr:cNvPr>
        <xdr:cNvGrpSpPr/>
      </xdr:nvGrpSpPr>
      <xdr:grpSpPr>
        <a:xfrm>
          <a:off x="3137538" y="3925537"/>
          <a:ext cx="6482819" cy="1131783"/>
          <a:chOff x="-3015105" y="3347262"/>
          <a:chExt cx="5833731" cy="1272100"/>
        </a:xfrm>
      </xdr:grpSpPr>
      <xdr:sp macro="" textlink="">
        <xdr:nvSpPr>
          <xdr:cNvPr id="67" name="Oval 66">
            <a:extLst>
              <a:ext uri="{FF2B5EF4-FFF2-40B4-BE49-F238E27FC236}">
                <a16:creationId xmlns:a16="http://schemas.microsoft.com/office/drawing/2014/main" id="{F9581195-BB43-E06C-ED67-674F6527DE58}"/>
              </a:ext>
            </a:extLst>
          </xdr:cNvPr>
          <xdr:cNvSpPr/>
        </xdr:nvSpPr>
        <xdr:spPr>
          <a:xfrm>
            <a:off x="-3015105" y="3347262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68" name="Oval 67">
            <a:extLst>
              <a:ext uri="{FF2B5EF4-FFF2-40B4-BE49-F238E27FC236}">
                <a16:creationId xmlns:a16="http://schemas.microsoft.com/office/drawing/2014/main" id="{7A0F18B6-7A38-323B-7D06-476D9F275433}"/>
              </a:ext>
            </a:extLst>
          </xdr:cNvPr>
          <xdr:cNvSpPr/>
        </xdr:nvSpPr>
        <xdr:spPr>
          <a:xfrm>
            <a:off x="1097177" y="3763313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69" name="Connector: Curved 173">
            <a:extLst>
              <a:ext uri="{FF2B5EF4-FFF2-40B4-BE49-F238E27FC236}">
                <a16:creationId xmlns:a16="http://schemas.microsoft.com/office/drawing/2014/main" id="{CDFDF7C4-4AF5-B508-5532-B66C27C1CEDD}"/>
              </a:ext>
            </a:extLst>
          </xdr:cNvPr>
          <xdr:cNvCxnSpPr>
            <a:stCxn id="67" idx="6"/>
            <a:endCxn id="68" idx="1"/>
          </xdr:cNvCxnSpPr>
        </xdr:nvCxnSpPr>
        <xdr:spPr>
          <a:xfrm>
            <a:off x="-2023990" y="3580540"/>
            <a:ext cx="3373268" cy="308139"/>
          </a:xfrm>
          <a:prstGeom prst="curvedConnector2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2</xdr:col>
      <xdr:colOff>876332</xdr:colOff>
      <xdr:row>3</xdr:row>
      <xdr:rowOff>1551392</xdr:rowOff>
    </xdr:from>
    <xdr:to>
      <xdr:col>2</xdr:col>
      <xdr:colOff>1359530</xdr:colOff>
      <xdr:row>3</xdr:row>
      <xdr:rowOff>1935567</xdr:rowOff>
    </xdr:to>
    <xdr:pic>
      <xdr:nvPicPr>
        <xdr:cNvPr id="71" name="Graphic 70">
          <a:extLst>
            <a:ext uri="{FF2B5EF4-FFF2-40B4-BE49-F238E27FC236}">
              <a16:creationId xmlns:a16="http://schemas.microsoft.com/office/drawing/2014/main" id="{44496094-9B90-7944-9D80-433BD4AF8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663732" y="3955925"/>
          <a:ext cx="483198" cy="384175"/>
        </a:xfrm>
        <a:prstGeom prst="rect">
          <a:avLst/>
        </a:prstGeom>
      </xdr:spPr>
    </xdr:pic>
    <xdr:clientData/>
  </xdr:twoCellAnchor>
  <xdr:twoCellAnchor editAs="oneCell">
    <xdr:from>
      <xdr:col>2</xdr:col>
      <xdr:colOff>836268</xdr:colOff>
      <xdr:row>3</xdr:row>
      <xdr:rowOff>1164443</xdr:rowOff>
    </xdr:from>
    <xdr:to>
      <xdr:col>2</xdr:col>
      <xdr:colOff>1408164</xdr:colOff>
      <xdr:row>3</xdr:row>
      <xdr:rowOff>1498923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F0D18B26-806F-B94D-8524-386EEF6D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623668" y="3568976"/>
          <a:ext cx="571896" cy="334480"/>
        </a:xfrm>
        <a:prstGeom prst="rect">
          <a:avLst/>
        </a:prstGeom>
      </xdr:spPr>
    </xdr:pic>
    <xdr:clientData/>
  </xdr:twoCellAnchor>
  <xdr:twoCellAnchor>
    <xdr:from>
      <xdr:col>10</xdr:col>
      <xdr:colOff>126575</xdr:colOff>
      <xdr:row>8</xdr:row>
      <xdr:rowOff>10886</xdr:rowOff>
    </xdr:from>
    <xdr:to>
      <xdr:col>10</xdr:col>
      <xdr:colOff>2536372</xdr:colOff>
      <xdr:row>9</xdr:row>
      <xdr:rowOff>1449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6DAED76F-A95B-3F4F-8BFA-6F2095D06108}"/>
            </a:ext>
          </a:extLst>
        </xdr:cNvPr>
        <xdr:cNvSpPr txBox="1"/>
      </xdr:nvSpPr>
      <xdr:spPr>
        <a:xfrm>
          <a:off x="19671875" y="93199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10</xdr:col>
      <xdr:colOff>122256</xdr:colOff>
      <xdr:row>9</xdr:row>
      <xdr:rowOff>10886</xdr:rowOff>
    </xdr:from>
    <xdr:to>
      <xdr:col>10</xdr:col>
      <xdr:colOff>2008839</xdr:colOff>
      <xdr:row>9</xdr:row>
      <xdr:rowOff>275993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77D24039-8826-E04B-AAB3-A0BC68132D8C}"/>
            </a:ext>
          </a:extLst>
        </xdr:cNvPr>
        <xdr:cNvSpPr txBox="1"/>
      </xdr:nvSpPr>
      <xdr:spPr>
        <a:xfrm>
          <a:off x="19667556" y="95993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108226</xdr:colOff>
      <xdr:row>4</xdr:row>
      <xdr:rowOff>740096</xdr:rowOff>
    </xdr:from>
    <xdr:to>
      <xdr:col>2</xdr:col>
      <xdr:colOff>701813</xdr:colOff>
      <xdr:row>4</xdr:row>
      <xdr:rowOff>1968683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E165CC8-59B8-7B44-837F-FC9EB6A6F0AB}"/>
            </a:ext>
          </a:extLst>
        </xdr:cNvPr>
        <xdr:cNvSpPr/>
      </xdr:nvSpPr>
      <xdr:spPr>
        <a:xfrm>
          <a:off x="895626" y="6234963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2</xdr:col>
      <xdr:colOff>157389</xdr:colOff>
      <xdr:row>4</xdr:row>
      <xdr:rowOff>1359657</xdr:rowOff>
    </xdr:from>
    <xdr:to>
      <xdr:col>3</xdr:col>
      <xdr:colOff>2256972</xdr:colOff>
      <xdr:row>4</xdr:row>
      <xdr:rowOff>2356606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999E4D32-BA11-F74D-8BD9-C2A7E41AB4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1960562</xdr:colOff>
      <xdr:row>4</xdr:row>
      <xdr:rowOff>2075196</xdr:rowOff>
    </xdr:from>
    <xdr:to>
      <xdr:col>2</xdr:col>
      <xdr:colOff>2670255</xdr:colOff>
      <xdr:row>4</xdr:row>
      <xdr:rowOff>2448720</xdr:rowOff>
    </xdr:to>
    <xdr:sp macro="" textlink="'Sprint Summary | data'!AB47">
      <xdr:nvSpPr>
        <xdr:cNvPr id="77" name="TextBox 76">
          <a:extLst>
            <a:ext uri="{FF2B5EF4-FFF2-40B4-BE49-F238E27FC236}">
              <a16:creationId xmlns:a16="http://schemas.microsoft.com/office/drawing/2014/main" id="{912324F3-B456-624E-A5EC-65FAF1AE9742}"/>
            </a:ext>
          </a:extLst>
        </xdr:cNvPr>
        <xdr:cNvSpPr txBox="1"/>
      </xdr:nvSpPr>
      <xdr:spPr>
        <a:xfrm>
          <a:off x="9847262" y="7561596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1962151</xdr:colOff>
      <xdr:row>4</xdr:row>
      <xdr:rowOff>2453815</xdr:rowOff>
    </xdr:from>
    <xdr:to>
      <xdr:col>2</xdr:col>
      <xdr:colOff>2629551</xdr:colOff>
      <xdr:row>4</xdr:row>
      <xdr:rowOff>2827339</xdr:rowOff>
    </xdr:to>
    <xdr:sp macro="" textlink="'Sprint Summary | data'!AB48">
      <xdr:nvSpPr>
        <xdr:cNvPr id="79" name="TextBox 78">
          <a:extLst>
            <a:ext uri="{FF2B5EF4-FFF2-40B4-BE49-F238E27FC236}">
              <a16:creationId xmlns:a16="http://schemas.microsoft.com/office/drawing/2014/main" id="{F797A6AE-29D2-F445-863B-66240CC61B7C}"/>
            </a:ext>
          </a:extLst>
        </xdr:cNvPr>
        <xdr:cNvSpPr txBox="1"/>
      </xdr:nvSpPr>
      <xdr:spPr>
        <a:xfrm>
          <a:off x="9848851" y="7940215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1808686</xdr:colOff>
      <xdr:row>12</xdr:row>
      <xdr:rowOff>19016</xdr:rowOff>
    </xdr:from>
    <xdr:to>
      <xdr:col>3</xdr:col>
      <xdr:colOff>2355774</xdr:colOff>
      <xdr:row>13</xdr:row>
      <xdr:rowOff>100091</xdr:rowOff>
    </xdr:to>
    <xdr:sp macro="" textlink="'Sprint Summary | data'!AB66">
      <xdr:nvSpPr>
        <xdr:cNvPr id="85" name="TextBox 84">
          <a:extLst>
            <a:ext uri="{FF2B5EF4-FFF2-40B4-BE49-F238E27FC236}">
              <a16:creationId xmlns:a16="http://schemas.microsoft.com/office/drawing/2014/main" id="{FF833F30-C7A8-2240-93BE-AE9A0FA7DF6D}"/>
            </a:ext>
          </a:extLst>
        </xdr:cNvPr>
        <xdr:cNvSpPr txBox="1"/>
      </xdr:nvSpPr>
      <xdr:spPr>
        <a:xfrm>
          <a:off x="12489386" y="10445716"/>
          <a:ext cx="547088" cy="36047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1807098</xdr:colOff>
      <xdr:row>13</xdr:row>
      <xdr:rowOff>108361</xdr:rowOff>
    </xdr:from>
    <xdr:to>
      <xdr:col>4</xdr:col>
      <xdr:colOff>51252</xdr:colOff>
      <xdr:row>13</xdr:row>
      <xdr:rowOff>481885</xdr:rowOff>
    </xdr:to>
    <xdr:sp macro="" textlink="'Sprint Summary | data'!AB67">
      <xdr:nvSpPr>
        <xdr:cNvPr id="87" name="TextBox 86">
          <a:extLst>
            <a:ext uri="{FF2B5EF4-FFF2-40B4-BE49-F238E27FC236}">
              <a16:creationId xmlns:a16="http://schemas.microsoft.com/office/drawing/2014/main" id="{FC99D228-E439-6F4B-93E5-BE9AF8B3DD5E}"/>
            </a:ext>
          </a:extLst>
        </xdr:cNvPr>
        <xdr:cNvSpPr txBox="1"/>
      </xdr:nvSpPr>
      <xdr:spPr>
        <a:xfrm>
          <a:off x="12487798" y="10814461"/>
          <a:ext cx="1025454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85993</xdr:colOff>
      <xdr:row>3</xdr:row>
      <xdr:rowOff>1039768</xdr:rowOff>
    </xdr:from>
    <xdr:to>
      <xdr:col>7</xdr:col>
      <xdr:colOff>655755</xdr:colOff>
      <xdr:row>4</xdr:row>
      <xdr:rowOff>2225708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9547A2C1-6F3C-B948-87BE-3ADCD001C8C9}"/>
            </a:ext>
          </a:extLst>
        </xdr:cNvPr>
        <xdr:cNvGrpSpPr/>
      </xdr:nvGrpSpPr>
      <xdr:grpSpPr>
        <a:xfrm>
          <a:off x="6456313" y="3447688"/>
          <a:ext cx="4308642" cy="3837700"/>
          <a:chOff x="12441033" y="3461845"/>
          <a:chExt cx="3993809" cy="4282919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360BCA0B-0221-E0AE-5007-32AE980125F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149" name="TextBox 148">
              <a:extLst>
                <a:ext uri="{FF2B5EF4-FFF2-40B4-BE49-F238E27FC236}">
                  <a16:creationId xmlns:a16="http://schemas.microsoft.com/office/drawing/2014/main" id="{12A745DD-23ED-BEA3-FACE-D2C1A3C02993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150" name="TextBox 149">
              <a:extLst>
                <a:ext uri="{FF2B5EF4-FFF2-40B4-BE49-F238E27FC236}">
                  <a16:creationId xmlns:a16="http://schemas.microsoft.com/office/drawing/2014/main" id="{2820D17B-BBD3-C974-7FA1-920ABE648B61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151" name="TextBox 150">
              <a:extLst>
                <a:ext uri="{FF2B5EF4-FFF2-40B4-BE49-F238E27FC236}">
                  <a16:creationId xmlns:a16="http://schemas.microsoft.com/office/drawing/2014/main" id="{32F29DA1-58EE-4BCB-B110-4D907C29D2F8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152" name="TextBox 151">
              <a:extLst>
                <a:ext uri="{FF2B5EF4-FFF2-40B4-BE49-F238E27FC236}">
                  <a16:creationId xmlns:a16="http://schemas.microsoft.com/office/drawing/2014/main" id="{1035FCBC-2BC4-6D1D-B820-C15E18E83794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53" name="TextBox 152">
              <a:extLst>
                <a:ext uri="{FF2B5EF4-FFF2-40B4-BE49-F238E27FC236}">
                  <a16:creationId xmlns:a16="http://schemas.microsoft.com/office/drawing/2014/main" id="{A5B669FA-383C-58DA-0672-7551BC255C8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154" name="TextBox 153">
              <a:extLst>
                <a:ext uri="{FF2B5EF4-FFF2-40B4-BE49-F238E27FC236}">
                  <a16:creationId xmlns:a16="http://schemas.microsoft.com/office/drawing/2014/main" id="{4A7AB015-E0AB-523C-8DDD-500F2A66498E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155" name="TextBox 154">
              <a:extLst>
                <a:ext uri="{FF2B5EF4-FFF2-40B4-BE49-F238E27FC236}">
                  <a16:creationId xmlns:a16="http://schemas.microsoft.com/office/drawing/2014/main" id="{028719D2-9CE8-98E7-FFD2-3C6AC143026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156" name="TextBox 155">
              <a:extLst>
                <a:ext uri="{FF2B5EF4-FFF2-40B4-BE49-F238E27FC236}">
                  <a16:creationId xmlns:a16="http://schemas.microsoft.com/office/drawing/2014/main" id="{2CD9101E-14C5-9646-6061-8359FFFB8DCD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57" name="TextBox 156">
              <a:extLst>
                <a:ext uri="{FF2B5EF4-FFF2-40B4-BE49-F238E27FC236}">
                  <a16:creationId xmlns:a16="http://schemas.microsoft.com/office/drawing/2014/main" id="{329223E0-427F-EDCF-2DE7-BCEB34E39B23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158" name="TextBox 157">
              <a:extLst>
                <a:ext uri="{FF2B5EF4-FFF2-40B4-BE49-F238E27FC236}">
                  <a16:creationId xmlns:a16="http://schemas.microsoft.com/office/drawing/2014/main" id="{7978C6C3-9D1F-E7ED-7269-268649F831A1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59" name="Group 158">
              <a:extLst>
                <a:ext uri="{FF2B5EF4-FFF2-40B4-BE49-F238E27FC236}">
                  <a16:creationId xmlns:a16="http://schemas.microsoft.com/office/drawing/2014/main" id="{116326B8-7239-7C41-9A5A-9C8D14C1546A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171" name="Rectangle 170">
                <a:extLst>
                  <a:ext uri="{FF2B5EF4-FFF2-40B4-BE49-F238E27FC236}">
                    <a16:creationId xmlns:a16="http://schemas.microsoft.com/office/drawing/2014/main" id="{73B59AB8-8392-402E-A087-4C038E90FD7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72" name="TextBox 171">
                <a:extLst>
                  <a:ext uri="{FF2B5EF4-FFF2-40B4-BE49-F238E27FC236}">
                    <a16:creationId xmlns:a16="http://schemas.microsoft.com/office/drawing/2014/main" id="{18E71D04-3097-2F79-F59E-62B5FD36974A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73" name="TextBox 172">
                <a:extLst>
                  <a:ext uri="{FF2B5EF4-FFF2-40B4-BE49-F238E27FC236}">
                    <a16:creationId xmlns:a16="http://schemas.microsoft.com/office/drawing/2014/main" id="{6DB7AB18-F073-9A81-FE14-077CFAFC4557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FE75393B-BB7B-1443-78E1-8BD0FC648AF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5D90A5F8-929E-47DD-46AE-9542FAC450B0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62" name="TextBox 161">
              <a:extLst>
                <a:ext uri="{FF2B5EF4-FFF2-40B4-BE49-F238E27FC236}">
                  <a16:creationId xmlns:a16="http://schemas.microsoft.com/office/drawing/2014/main" id="{76206A99-6EC0-269B-9070-443A77266552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63" name="TextBox 162">
              <a:extLst>
                <a:ext uri="{FF2B5EF4-FFF2-40B4-BE49-F238E27FC236}">
                  <a16:creationId xmlns:a16="http://schemas.microsoft.com/office/drawing/2014/main" id="{052C95D1-E562-8774-2BAA-0FD465F90B7C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64" name="Connector: Curved 90">
              <a:extLst>
                <a:ext uri="{FF2B5EF4-FFF2-40B4-BE49-F238E27FC236}">
                  <a16:creationId xmlns:a16="http://schemas.microsoft.com/office/drawing/2014/main" id="{7C88D149-04BD-EB6C-C723-2ED106E2807C}"/>
                </a:ext>
              </a:extLst>
            </xdr:cNvPr>
            <xdr:cNvCxnSpPr>
              <a:stCxn id="151" idx="0"/>
              <a:endCxn id="150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5" name="Connector: Curved 93">
              <a:extLst>
                <a:ext uri="{FF2B5EF4-FFF2-40B4-BE49-F238E27FC236}">
                  <a16:creationId xmlns:a16="http://schemas.microsoft.com/office/drawing/2014/main" id="{CD58F9D7-F290-5F75-8CAD-6358ADD93779}"/>
                </a:ext>
              </a:extLst>
            </xdr:cNvPr>
            <xdr:cNvCxnSpPr>
              <a:stCxn id="152" idx="0"/>
              <a:endCxn id="150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6" name="Connector: Curved 95">
              <a:extLst>
                <a:ext uri="{FF2B5EF4-FFF2-40B4-BE49-F238E27FC236}">
                  <a16:creationId xmlns:a16="http://schemas.microsoft.com/office/drawing/2014/main" id="{C1E86918-B870-C75F-89E7-7DC1BE9F90CE}"/>
                </a:ext>
              </a:extLst>
            </xdr:cNvPr>
            <xdr:cNvCxnSpPr>
              <a:stCxn id="150" idx="2"/>
              <a:endCxn id="153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67" name="TextBox 166">
              <a:extLst>
                <a:ext uri="{FF2B5EF4-FFF2-40B4-BE49-F238E27FC236}">
                  <a16:creationId xmlns:a16="http://schemas.microsoft.com/office/drawing/2014/main" id="{61A8628F-5C64-B978-D10E-0B5269B9D572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68" name="TextBox 167">
              <a:extLst>
                <a:ext uri="{FF2B5EF4-FFF2-40B4-BE49-F238E27FC236}">
                  <a16:creationId xmlns:a16="http://schemas.microsoft.com/office/drawing/2014/main" id="{DA8180A7-03BB-A967-7ECE-41EEBBD6F7F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69" name="TextBox 168">
              <a:extLst>
                <a:ext uri="{FF2B5EF4-FFF2-40B4-BE49-F238E27FC236}">
                  <a16:creationId xmlns:a16="http://schemas.microsoft.com/office/drawing/2014/main" id="{569190E2-7782-E76B-0C1E-2561CE40452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70" name="Connector: Curved 107">
              <a:extLst>
                <a:ext uri="{FF2B5EF4-FFF2-40B4-BE49-F238E27FC236}">
                  <a16:creationId xmlns:a16="http://schemas.microsoft.com/office/drawing/2014/main" id="{66223EB6-A12E-C4E8-FF4B-AB893DE1B56C}"/>
                </a:ext>
              </a:extLst>
            </xdr:cNvPr>
            <xdr:cNvCxnSpPr>
              <a:stCxn id="171" idx="3"/>
              <a:endCxn id="154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148" name="TextBox 147">
            <a:extLst>
              <a:ext uri="{FF2B5EF4-FFF2-40B4-BE49-F238E27FC236}">
                <a16:creationId xmlns:a16="http://schemas.microsoft.com/office/drawing/2014/main" id="{4D03AA43-9CCD-3353-D451-71A13F56B6F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8</xdr:col>
      <xdr:colOff>284304</xdr:colOff>
      <xdr:row>3</xdr:row>
      <xdr:rowOff>1036288</xdr:rowOff>
    </xdr:from>
    <xdr:to>
      <xdr:col>10</xdr:col>
      <xdr:colOff>2448913</xdr:colOff>
      <xdr:row>4</xdr:row>
      <xdr:rowOff>2277763</xdr:rowOff>
    </xdr:to>
    <xdr:grpSp>
      <xdr:nvGrpSpPr>
        <xdr:cNvPr id="174" name="Group 173">
          <a:extLst>
            <a:ext uri="{FF2B5EF4-FFF2-40B4-BE49-F238E27FC236}">
              <a16:creationId xmlns:a16="http://schemas.microsoft.com/office/drawing/2014/main" id="{ADD2608E-C163-6F4B-9015-B70BD6251813}"/>
            </a:ext>
          </a:extLst>
        </xdr:cNvPr>
        <xdr:cNvGrpSpPr/>
      </xdr:nvGrpSpPr>
      <xdr:grpSpPr>
        <a:xfrm>
          <a:off x="11185984" y="3444208"/>
          <a:ext cx="3729249" cy="3893235"/>
          <a:chOff x="16776161" y="3458359"/>
          <a:chExt cx="3601523" cy="4338461"/>
        </a:xfrm>
      </xdr:grpSpPr>
      <xdr:grpSp>
        <xdr:nvGrpSpPr>
          <xdr:cNvPr id="175" name="Group 174">
            <a:extLst>
              <a:ext uri="{FF2B5EF4-FFF2-40B4-BE49-F238E27FC236}">
                <a16:creationId xmlns:a16="http://schemas.microsoft.com/office/drawing/2014/main" id="{D344A48D-A55C-B06F-E362-3FF3C763155F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77" name="TextBox 176">
              <a:extLst>
                <a:ext uri="{FF2B5EF4-FFF2-40B4-BE49-F238E27FC236}">
                  <a16:creationId xmlns:a16="http://schemas.microsoft.com/office/drawing/2014/main" id="{33434B84-CD0B-FDD2-D4E5-554239794BD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78" name="TextBox 177">
              <a:extLst>
                <a:ext uri="{FF2B5EF4-FFF2-40B4-BE49-F238E27FC236}">
                  <a16:creationId xmlns:a16="http://schemas.microsoft.com/office/drawing/2014/main" id="{84D0D3D2-0C5A-2539-A30C-10AB4B126511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79" name="TextBox 178">
              <a:extLst>
                <a:ext uri="{FF2B5EF4-FFF2-40B4-BE49-F238E27FC236}">
                  <a16:creationId xmlns:a16="http://schemas.microsoft.com/office/drawing/2014/main" id="{DB8DD3ED-8027-2DB9-439F-5F851A80F226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80" name="TextBox 179">
              <a:extLst>
                <a:ext uri="{FF2B5EF4-FFF2-40B4-BE49-F238E27FC236}">
                  <a16:creationId xmlns:a16="http://schemas.microsoft.com/office/drawing/2014/main" id="{BB161134-5781-3410-4434-1FAAFF02D435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81" name="TextBox 180">
              <a:extLst>
                <a:ext uri="{FF2B5EF4-FFF2-40B4-BE49-F238E27FC236}">
                  <a16:creationId xmlns:a16="http://schemas.microsoft.com/office/drawing/2014/main" id="{D389DBD7-A85D-34CB-B987-215B51FD9B5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82" name="TextBox 181">
              <a:extLst>
                <a:ext uri="{FF2B5EF4-FFF2-40B4-BE49-F238E27FC236}">
                  <a16:creationId xmlns:a16="http://schemas.microsoft.com/office/drawing/2014/main" id="{6A407C09-F3C0-47FA-5135-109B160940D6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83" name="TextBox 182">
              <a:extLst>
                <a:ext uri="{FF2B5EF4-FFF2-40B4-BE49-F238E27FC236}">
                  <a16:creationId xmlns:a16="http://schemas.microsoft.com/office/drawing/2014/main" id="{48B35E58-A3B6-BFBD-16A0-DD99CA6377BE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84" name="TextBox 183">
              <a:extLst>
                <a:ext uri="{FF2B5EF4-FFF2-40B4-BE49-F238E27FC236}">
                  <a16:creationId xmlns:a16="http://schemas.microsoft.com/office/drawing/2014/main" id="{E348A54C-9B29-C292-D1E2-247D7F901BFE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85" name="TextBox 184">
              <a:extLst>
                <a:ext uri="{FF2B5EF4-FFF2-40B4-BE49-F238E27FC236}">
                  <a16:creationId xmlns:a16="http://schemas.microsoft.com/office/drawing/2014/main" id="{0E03AE19-9677-326E-F71F-732E4ABDE112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86" name="TextBox 185">
              <a:extLst>
                <a:ext uri="{FF2B5EF4-FFF2-40B4-BE49-F238E27FC236}">
                  <a16:creationId xmlns:a16="http://schemas.microsoft.com/office/drawing/2014/main" id="{085FC297-1257-C1E0-022D-D861AF8B4FCE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87" name="Group 186">
              <a:extLst>
                <a:ext uri="{FF2B5EF4-FFF2-40B4-BE49-F238E27FC236}">
                  <a16:creationId xmlns:a16="http://schemas.microsoft.com/office/drawing/2014/main" id="{102DDFC2-88BB-9F2D-4B7F-60D81D23CA6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99" name="Rectangle 198">
                <a:extLst>
                  <a:ext uri="{FF2B5EF4-FFF2-40B4-BE49-F238E27FC236}">
                    <a16:creationId xmlns:a16="http://schemas.microsoft.com/office/drawing/2014/main" id="{31B42A18-FF8A-B18E-588B-F6D0CCF2C4C4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200" name="TextBox 199">
                <a:extLst>
                  <a:ext uri="{FF2B5EF4-FFF2-40B4-BE49-F238E27FC236}">
                    <a16:creationId xmlns:a16="http://schemas.microsoft.com/office/drawing/2014/main" id="{6C148074-D256-C2A6-A3E6-64FDA21EEEC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201" name="TextBox 200">
                <a:extLst>
                  <a:ext uri="{FF2B5EF4-FFF2-40B4-BE49-F238E27FC236}">
                    <a16:creationId xmlns:a16="http://schemas.microsoft.com/office/drawing/2014/main" id="{4FE98829-F4DC-A9F4-C804-459AC34E166B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5B6F15E5-11FB-6A66-BAB5-5F3DA95A8AD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A757B1F1-44B4-3765-C897-1CBDD9CC8893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90" name="TextBox 189">
              <a:extLst>
                <a:ext uri="{FF2B5EF4-FFF2-40B4-BE49-F238E27FC236}">
                  <a16:creationId xmlns:a16="http://schemas.microsoft.com/office/drawing/2014/main" id="{F8D20E07-6313-244E-4777-867CB49BD262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A2565680-34B8-6CB2-E824-A4742D89F80E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92" name="Connector: Curved 132">
              <a:extLst>
                <a:ext uri="{FF2B5EF4-FFF2-40B4-BE49-F238E27FC236}">
                  <a16:creationId xmlns:a16="http://schemas.microsoft.com/office/drawing/2014/main" id="{B3251B3B-7EA0-8AAC-AA1C-62B273A380B3}"/>
                </a:ext>
              </a:extLst>
            </xdr:cNvPr>
            <xdr:cNvCxnSpPr>
              <a:stCxn id="179" idx="0"/>
              <a:endCxn id="178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93" name="Connector: Curved 133">
              <a:extLst>
                <a:ext uri="{FF2B5EF4-FFF2-40B4-BE49-F238E27FC236}">
                  <a16:creationId xmlns:a16="http://schemas.microsoft.com/office/drawing/2014/main" id="{33ED696B-D534-FA94-56A6-91B8553929BF}"/>
                </a:ext>
              </a:extLst>
            </xdr:cNvPr>
            <xdr:cNvCxnSpPr>
              <a:stCxn id="180" idx="0"/>
              <a:endCxn id="178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94" name="Connector: Curved 134">
              <a:extLst>
                <a:ext uri="{FF2B5EF4-FFF2-40B4-BE49-F238E27FC236}">
                  <a16:creationId xmlns:a16="http://schemas.microsoft.com/office/drawing/2014/main" id="{88A03D6B-4864-E11D-C578-237A5F81541F}"/>
                </a:ext>
              </a:extLst>
            </xdr:cNvPr>
            <xdr:cNvCxnSpPr>
              <a:stCxn id="178" idx="2"/>
              <a:endCxn id="181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95" name="TextBox 194">
              <a:extLst>
                <a:ext uri="{FF2B5EF4-FFF2-40B4-BE49-F238E27FC236}">
                  <a16:creationId xmlns:a16="http://schemas.microsoft.com/office/drawing/2014/main" id="{98D9C10F-92F8-87B6-96C9-E41A8BA58B46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96" name="TextBox 195">
              <a:extLst>
                <a:ext uri="{FF2B5EF4-FFF2-40B4-BE49-F238E27FC236}">
                  <a16:creationId xmlns:a16="http://schemas.microsoft.com/office/drawing/2014/main" id="{EDA87246-25A7-C5C0-C38D-BC559685843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97" name="TextBox 196">
              <a:extLst>
                <a:ext uri="{FF2B5EF4-FFF2-40B4-BE49-F238E27FC236}">
                  <a16:creationId xmlns:a16="http://schemas.microsoft.com/office/drawing/2014/main" id="{AF4532C2-155E-85A5-9624-C4CED4E7274D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98" name="Connector: Curved 138">
              <a:extLst>
                <a:ext uri="{FF2B5EF4-FFF2-40B4-BE49-F238E27FC236}">
                  <a16:creationId xmlns:a16="http://schemas.microsoft.com/office/drawing/2014/main" id="{DDA39950-C97C-BD2A-BC81-69D5E04A0785}"/>
                </a:ext>
              </a:extLst>
            </xdr:cNvPr>
            <xdr:cNvCxnSpPr>
              <a:stCxn id="199" idx="3"/>
              <a:endCxn id="182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6" name="TextBox 175">
            <a:extLst>
              <a:ext uri="{FF2B5EF4-FFF2-40B4-BE49-F238E27FC236}">
                <a16:creationId xmlns:a16="http://schemas.microsoft.com/office/drawing/2014/main" id="{66EC635F-B85C-8665-D260-01C032104AA5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40676</xdr:colOff>
      <xdr:row>2</xdr:row>
      <xdr:rowOff>1184124</xdr:rowOff>
    </xdr:from>
    <xdr:to>
      <xdr:col>2</xdr:col>
      <xdr:colOff>1043253</xdr:colOff>
      <xdr:row>2</xdr:row>
      <xdr:rowOff>1634434</xdr:rowOff>
    </xdr:to>
    <xdr:sp macro="" textlink="">
      <xdr:nvSpPr>
        <xdr:cNvPr id="212" name="TextBox 211">
          <a:extLst>
            <a:ext uri="{FF2B5EF4-FFF2-40B4-BE49-F238E27FC236}">
              <a16:creationId xmlns:a16="http://schemas.microsoft.com/office/drawing/2014/main" id="{C4EF9715-AC0F-5444-ADC5-2DDE701A0192}"/>
            </a:ext>
          </a:extLst>
        </xdr:cNvPr>
        <xdr:cNvSpPr txBox="1"/>
      </xdr:nvSpPr>
      <xdr:spPr>
        <a:xfrm>
          <a:off x="827082" y="1843982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0</xdr:col>
      <xdr:colOff>-7747355</xdr:colOff>
      <xdr:row>5</xdr:row>
      <xdr:rowOff>327025</xdr:rowOff>
    </xdr:from>
    <xdr:to>
      <xdr:col>2</xdr:col>
      <xdr:colOff>2362826</xdr:colOff>
      <xdr:row>5</xdr:row>
      <xdr:rowOff>327025</xdr:rowOff>
    </xdr:to>
    <xdr:grpSp>
      <xdr:nvGrpSpPr>
        <xdr:cNvPr id="258" name="Group 257">
          <a:extLst>
            <a:ext uri="{FF2B5EF4-FFF2-40B4-BE49-F238E27FC236}">
              <a16:creationId xmlns:a16="http://schemas.microsoft.com/office/drawing/2014/main" id="{F0130567-5641-ED4B-B579-D211BAF51D15}"/>
            </a:ext>
          </a:extLst>
        </xdr:cNvPr>
        <xdr:cNvGrpSpPr/>
      </xdr:nvGrpSpPr>
      <xdr:grpSpPr>
        <a:xfrm>
          <a:off x="-7747355" y="8754745"/>
          <a:ext cx="10902661" cy="0"/>
          <a:chOff x="-2529904" y="2567221"/>
          <a:chExt cx="10902645" cy="3868504"/>
        </a:xfrm>
      </xdr:grpSpPr>
      <xdr:grpSp>
        <xdr:nvGrpSpPr>
          <xdr:cNvPr id="259" name="Group 258">
            <a:extLst>
              <a:ext uri="{FF2B5EF4-FFF2-40B4-BE49-F238E27FC236}">
                <a16:creationId xmlns:a16="http://schemas.microsoft.com/office/drawing/2014/main" id="{87A00B92-3F97-7547-117D-E1498DC41E87}"/>
              </a:ext>
            </a:extLst>
          </xdr:cNvPr>
          <xdr:cNvGrpSpPr/>
        </xdr:nvGrpSpPr>
        <xdr:grpSpPr>
          <a:xfrm>
            <a:off x="-2529904" y="2567221"/>
            <a:ext cx="10898814" cy="3868504"/>
            <a:chOff x="1175080" y="9092667"/>
            <a:chExt cx="10883570" cy="3950233"/>
          </a:xfrm>
        </xdr:grpSpPr>
        <xdr:sp macro="" textlink="">
          <xdr:nvSpPr>
            <xdr:cNvPr id="262" name="Rectangle 261">
              <a:extLst>
                <a:ext uri="{FF2B5EF4-FFF2-40B4-BE49-F238E27FC236}">
                  <a16:creationId xmlns:a16="http://schemas.microsoft.com/office/drawing/2014/main" id="{4734DC77-B40D-9A66-A0CB-964FCA7CE42E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AB44">
          <xdr:nvSpPr>
            <xdr:cNvPr id="263" name="TextBox 262">
              <a:extLst>
                <a:ext uri="{FF2B5EF4-FFF2-40B4-BE49-F238E27FC236}">
                  <a16:creationId xmlns:a16="http://schemas.microsoft.com/office/drawing/2014/main" id="{8EDF64A0-EB58-8145-F3B2-5E91DC38522E}"/>
                </a:ext>
              </a:extLst>
            </xdr:cNvPr>
            <xdr:cNvSpPr txBox="1"/>
          </xdr:nvSpPr>
          <xdr:spPr>
            <a:xfrm>
              <a:off x="1175080" y="9092667"/>
              <a:ext cx="995319" cy="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64" name="TextBox 263">
              <a:extLst>
                <a:ext uri="{FF2B5EF4-FFF2-40B4-BE49-F238E27FC236}">
                  <a16:creationId xmlns:a16="http://schemas.microsoft.com/office/drawing/2014/main" id="{5F5200D5-839A-AF91-6D3E-DEE262A9F83A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AB45">
          <xdr:nvSpPr>
            <xdr:cNvPr id="265" name="TextBox 264">
              <a:extLst>
                <a:ext uri="{FF2B5EF4-FFF2-40B4-BE49-F238E27FC236}">
                  <a16:creationId xmlns:a16="http://schemas.microsoft.com/office/drawing/2014/main" id="{36EAF5AF-7E5A-F78F-D5F6-CFB5C94F8E68}"/>
                </a:ext>
              </a:extLst>
            </xdr:cNvPr>
            <xdr:cNvSpPr txBox="1"/>
          </xdr:nvSpPr>
          <xdr:spPr>
            <a:xfrm>
              <a:off x="2426138" y="9092667"/>
              <a:ext cx="504877" cy="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60" name="TextBox 259">
            <a:extLst>
              <a:ext uri="{FF2B5EF4-FFF2-40B4-BE49-F238E27FC236}">
                <a16:creationId xmlns:a16="http://schemas.microsoft.com/office/drawing/2014/main" id="{D05374F6-DCDC-391C-4FD7-2B89F10872C7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61" name="TextBox 260">
            <a:extLst>
              <a:ext uri="{FF2B5EF4-FFF2-40B4-BE49-F238E27FC236}">
                <a16:creationId xmlns:a16="http://schemas.microsoft.com/office/drawing/2014/main" id="{72B304D6-F867-1388-9366-BDFF7210A97C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2</xdr:col>
      <xdr:colOff>1960562</xdr:colOff>
      <xdr:row>5</xdr:row>
      <xdr:rowOff>2075196</xdr:rowOff>
    </xdr:from>
    <xdr:to>
      <xdr:col>2</xdr:col>
      <xdr:colOff>2670255</xdr:colOff>
      <xdr:row>5</xdr:row>
      <xdr:rowOff>2448720</xdr:rowOff>
    </xdr:to>
    <xdr:sp macro="" textlink="'Sprint Summary | data'!AB47">
      <xdr:nvSpPr>
        <xdr:cNvPr id="270" name="TextBox 269">
          <a:extLst>
            <a:ext uri="{FF2B5EF4-FFF2-40B4-BE49-F238E27FC236}">
              <a16:creationId xmlns:a16="http://schemas.microsoft.com/office/drawing/2014/main" id="{6B0D42DF-A14E-5946-8112-7AA956F73244}"/>
            </a:ext>
          </a:extLst>
        </xdr:cNvPr>
        <xdr:cNvSpPr txBox="1"/>
      </xdr:nvSpPr>
      <xdr:spPr>
        <a:xfrm>
          <a:off x="2738949" y="755121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1962151</xdr:colOff>
      <xdr:row>5</xdr:row>
      <xdr:rowOff>2453815</xdr:rowOff>
    </xdr:from>
    <xdr:to>
      <xdr:col>2</xdr:col>
      <xdr:colOff>2629551</xdr:colOff>
      <xdr:row>5</xdr:row>
      <xdr:rowOff>2827339</xdr:rowOff>
    </xdr:to>
    <xdr:sp macro="" textlink="'Sprint Summary | data'!AB48">
      <xdr:nvSpPr>
        <xdr:cNvPr id="272" name="TextBox 271">
          <a:extLst>
            <a:ext uri="{FF2B5EF4-FFF2-40B4-BE49-F238E27FC236}">
              <a16:creationId xmlns:a16="http://schemas.microsoft.com/office/drawing/2014/main" id="{5B7C1D2D-0CD6-9644-AD35-26BAB81A35BF}"/>
            </a:ext>
          </a:extLst>
        </xdr:cNvPr>
        <xdr:cNvSpPr txBox="1"/>
      </xdr:nvSpPr>
      <xdr:spPr>
        <a:xfrm>
          <a:off x="2740538" y="792983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 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118533</xdr:colOff>
      <xdr:row>5</xdr:row>
      <xdr:rowOff>149225</xdr:rowOff>
    </xdr:from>
    <xdr:to>
      <xdr:col>2</xdr:col>
      <xdr:colOff>2474381</xdr:colOff>
      <xdr:row>7</xdr:row>
      <xdr:rowOff>31750</xdr:rowOff>
    </xdr:to>
    <xdr:grpSp>
      <xdr:nvGrpSpPr>
        <xdr:cNvPr id="278" name="Group 277">
          <a:extLst>
            <a:ext uri="{FF2B5EF4-FFF2-40B4-BE49-F238E27FC236}">
              <a16:creationId xmlns:a16="http://schemas.microsoft.com/office/drawing/2014/main" id="{B42D09D4-6D42-004A-AF00-A168AD9757B4}"/>
            </a:ext>
          </a:extLst>
        </xdr:cNvPr>
        <xdr:cNvGrpSpPr/>
      </xdr:nvGrpSpPr>
      <xdr:grpSpPr>
        <a:xfrm>
          <a:off x="911013" y="8602345"/>
          <a:ext cx="2355848" cy="532765"/>
          <a:chOff x="1920877" y="1854200"/>
          <a:chExt cx="2340804" cy="536575"/>
        </a:xfrm>
      </xdr:grpSpPr>
      <xdr:sp macro="" textlink="">
        <xdr:nvSpPr>
          <xdr:cNvPr id="279" name="TextBox 278">
            <a:extLst>
              <a:ext uri="{FF2B5EF4-FFF2-40B4-BE49-F238E27FC236}">
                <a16:creationId xmlns:a16="http://schemas.microsoft.com/office/drawing/2014/main" id="{B324FE47-6BA9-5BB0-CE91-788C6BA9BE6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280" name="TextBox 279">
            <a:extLst>
              <a:ext uri="{FF2B5EF4-FFF2-40B4-BE49-F238E27FC236}">
                <a16:creationId xmlns:a16="http://schemas.microsoft.com/office/drawing/2014/main" id="{4C34C53F-1404-482B-700A-98DBB9861D06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2</xdr:col>
      <xdr:colOff>219021</xdr:colOff>
      <xdr:row>7</xdr:row>
      <xdr:rowOff>63500</xdr:rowOff>
    </xdr:from>
    <xdr:to>
      <xdr:col>2</xdr:col>
      <xdr:colOff>2398807</xdr:colOff>
      <xdr:row>10</xdr:row>
      <xdr:rowOff>127000</xdr:rowOff>
    </xdr:to>
    <xdr:grpSp>
      <xdr:nvGrpSpPr>
        <xdr:cNvPr id="281" name="Group 280">
          <a:extLst>
            <a:ext uri="{FF2B5EF4-FFF2-40B4-BE49-F238E27FC236}">
              <a16:creationId xmlns:a16="http://schemas.microsoft.com/office/drawing/2014/main" id="{35BE7151-B4AA-F243-82C5-CCB825AC78D3}"/>
            </a:ext>
          </a:extLst>
        </xdr:cNvPr>
        <xdr:cNvGrpSpPr/>
      </xdr:nvGrpSpPr>
      <xdr:grpSpPr>
        <a:xfrm>
          <a:off x="1011501" y="9166860"/>
          <a:ext cx="2179786" cy="916940"/>
          <a:chOff x="6190137" y="5534025"/>
          <a:chExt cx="2182604" cy="901700"/>
        </a:xfrm>
      </xdr:grpSpPr>
      <xdr:grpSp>
        <xdr:nvGrpSpPr>
          <xdr:cNvPr id="282" name="Group 281">
            <a:extLst>
              <a:ext uri="{FF2B5EF4-FFF2-40B4-BE49-F238E27FC236}">
                <a16:creationId xmlns:a16="http://schemas.microsoft.com/office/drawing/2014/main" id="{8401AE2A-9F5B-AE13-5CA8-96C8D6AC3148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285" name="Rectangle 284">
              <a:extLst>
                <a:ext uri="{FF2B5EF4-FFF2-40B4-BE49-F238E27FC236}">
                  <a16:creationId xmlns:a16="http://schemas.microsoft.com/office/drawing/2014/main" id="{4BA496AE-0FE9-B644-7C88-63A5BBCE0E26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86" name="TextBox 285">
              <a:extLst>
                <a:ext uri="{FF2B5EF4-FFF2-40B4-BE49-F238E27FC236}">
                  <a16:creationId xmlns:a16="http://schemas.microsoft.com/office/drawing/2014/main" id="{95825DBF-784F-7A83-56B8-20ACEA9E0BB6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87" name="TextBox 286">
              <a:extLst>
                <a:ext uri="{FF2B5EF4-FFF2-40B4-BE49-F238E27FC236}">
                  <a16:creationId xmlns:a16="http://schemas.microsoft.com/office/drawing/2014/main" id="{D4C0FBC8-6364-7891-14D8-1AC2DE8988E3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88" name="TextBox 287">
              <a:extLst>
                <a:ext uri="{FF2B5EF4-FFF2-40B4-BE49-F238E27FC236}">
                  <a16:creationId xmlns:a16="http://schemas.microsoft.com/office/drawing/2014/main" id="{FB726442-212F-D2BB-7C97-EF7BEBDEE01D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83" name="TextBox 282">
            <a:extLst>
              <a:ext uri="{FF2B5EF4-FFF2-40B4-BE49-F238E27FC236}">
                <a16:creationId xmlns:a16="http://schemas.microsoft.com/office/drawing/2014/main" id="{92F5843B-9682-9B4A-BE55-9AB471765FCA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84" name="TextBox 283">
            <a:extLst>
              <a:ext uri="{FF2B5EF4-FFF2-40B4-BE49-F238E27FC236}">
                <a16:creationId xmlns:a16="http://schemas.microsoft.com/office/drawing/2014/main" id="{4750D50E-FF1F-B9B4-B78A-A82E8991E74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3</xdr:col>
      <xdr:colOff>44930</xdr:colOff>
      <xdr:row>5</xdr:row>
      <xdr:rowOff>139700</xdr:rowOff>
    </xdr:from>
    <xdr:to>
      <xdr:col>3</xdr:col>
      <xdr:colOff>2448402</xdr:colOff>
      <xdr:row>7</xdr:row>
      <xdr:rowOff>28575</xdr:rowOff>
    </xdr:to>
    <xdr:grpSp>
      <xdr:nvGrpSpPr>
        <xdr:cNvPr id="289" name="Group 288">
          <a:extLst>
            <a:ext uri="{FF2B5EF4-FFF2-40B4-BE49-F238E27FC236}">
              <a16:creationId xmlns:a16="http://schemas.microsoft.com/office/drawing/2014/main" id="{5E2CE200-F3AA-2146-BD9D-BE6594AB8D95}"/>
            </a:ext>
          </a:extLst>
        </xdr:cNvPr>
        <xdr:cNvGrpSpPr/>
      </xdr:nvGrpSpPr>
      <xdr:grpSpPr>
        <a:xfrm>
          <a:off x="3631410" y="8592820"/>
          <a:ext cx="2403472" cy="539115"/>
          <a:chOff x="1920877" y="1854200"/>
          <a:chExt cx="2394604" cy="536575"/>
        </a:xfrm>
      </xdr:grpSpPr>
      <xdr:sp macro="" textlink="">
        <xdr:nvSpPr>
          <xdr:cNvPr id="290" name="TextBox 289">
            <a:extLst>
              <a:ext uri="{FF2B5EF4-FFF2-40B4-BE49-F238E27FC236}">
                <a16:creationId xmlns:a16="http://schemas.microsoft.com/office/drawing/2014/main" id="{DA775106-6549-A6A9-892A-7E69BEDC5FC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291" name="TextBox 290">
            <a:extLst>
              <a:ext uri="{FF2B5EF4-FFF2-40B4-BE49-F238E27FC236}">
                <a16:creationId xmlns:a16="http://schemas.microsoft.com/office/drawing/2014/main" id="{0DD758C4-C53D-C5E7-EE59-08C237C33AE3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3</xdr:col>
      <xdr:colOff>448153</xdr:colOff>
      <xdr:row>7</xdr:row>
      <xdr:rowOff>133350</xdr:rowOff>
    </xdr:from>
    <xdr:to>
      <xdr:col>3</xdr:col>
      <xdr:colOff>1835628</xdr:colOff>
      <xdr:row>10</xdr:row>
      <xdr:rowOff>132557</xdr:rowOff>
    </xdr:to>
    <xdr:sp macro="" textlink="'Sprint Summary | data'!J50">
      <xdr:nvSpPr>
        <xdr:cNvPr id="292" name="TextBox 291">
          <a:extLst>
            <a:ext uri="{FF2B5EF4-FFF2-40B4-BE49-F238E27FC236}">
              <a16:creationId xmlns:a16="http://schemas.microsoft.com/office/drawing/2014/main" id="{A1EE580F-1C13-764E-8EB3-9E6983BA9918}"/>
            </a:ext>
          </a:extLst>
        </xdr:cNvPr>
        <xdr:cNvSpPr txBox="1"/>
      </xdr:nvSpPr>
      <xdr:spPr>
        <a:xfrm>
          <a:off x="4029553" y="9239250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1996543</xdr:colOff>
      <xdr:row>12</xdr:row>
      <xdr:rowOff>84471</xdr:rowOff>
    </xdr:from>
    <xdr:to>
      <xdr:col>2</xdr:col>
      <xdr:colOff>2706236</xdr:colOff>
      <xdr:row>13</xdr:row>
      <xdr:rowOff>178595</xdr:rowOff>
    </xdr:to>
    <xdr:sp macro="" textlink="'Sprint Summary | data'!J43">
      <xdr:nvSpPr>
        <xdr:cNvPr id="293" name="TextBox 292">
          <a:extLst>
            <a:ext uri="{FF2B5EF4-FFF2-40B4-BE49-F238E27FC236}">
              <a16:creationId xmlns:a16="http://schemas.microsoft.com/office/drawing/2014/main" id="{A27CB6DD-AEEE-FC40-9B9F-DC32792D5659}"/>
            </a:ext>
          </a:extLst>
        </xdr:cNvPr>
        <xdr:cNvSpPr txBox="1"/>
      </xdr:nvSpPr>
      <xdr:spPr>
        <a:xfrm>
          <a:off x="2783943" y="10587371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1186919</xdr:colOff>
      <xdr:row>12</xdr:row>
      <xdr:rowOff>49160</xdr:rowOff>
    </xdr:from>
    <xdr:to>
      <xdr:col>2</xdr:col>
      <xdr:colOff>2106611</xdr:colOff>
      <xdr:row>13</xdr:row>
      <xdr:rowOff>204806</xdr:rowOff>
    </xdr:to>
    <xdr:sp macro="" textlink="">
      <xdr:nvSpPr>
        <xdr:cNvPr id="294" name="TextBox 293">
          <a:extLst>
            <a:ext uri="{FF2B5EF4-FFF2-40B4-BE49-F238E27FC236}">
              <a16:creationId xmlns:a16="http://schemas.microsoft.com/office/drawing/2014/main" id="{92039991-859B-0045-A7EA-D4F2F04EA7C8}"/>
            </a:ext>
          </a:extLst>
        </xdr:cNvPr>
        <xdr:cNvSpPr txBox="1"/>
      </xdr:nvSpPr>
      <xdr:spPr>
        <a:xfrm>
          <a:off x="1974319" y="10552060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2</xdr:col>
      <xdr:colOff>1998132</xdr:colOff>
      <xdr:row>13</xdr:row>
      <xdr:rowOff>183690</xdr:rowOff>
    </xdr:from>
    <xdr:to>
      <xdr:col>2</xdr:col>
      <xdr:colOff>2665532</xdr:colOff>
      <xdr:row>13</xdr:row>
      <xdr:rowOff>557214</xdr:rowOff>
    </xdr:to>
    <xdr:sp macro="" textlink="'Sprint Summary | data'!J44">
      <xdr:nvSpPr>
        <xdr:cNvPr id="295" name="TextBox 294">
          <a:extLst>
            <a:ext uri="{FF2B5EF4-FFF2-40B4-BE49-F238E27FC236}">
              <a16:creationId xmlns:a16="http://schemas.microsoft.com/office/drawing/2014/main" id="{43EBBE33-C862-8E47-A2B1-7CCA73861E53}"/>
            </a:ext>
          </a:extLst>
        </xdr:cNvPr>
        <xdr:cNvSpPr txBox="1"/>
      </xdr:nvSpPr>
      <xdr:spPr>
        <a:xfrm>
          <a:off x="2785532" y="10965990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1184538</xdr:colOff>
      <xdr:row>13</xdr:row>
      <xdr:rowOff>147419</xdr:rowOff>
    </xdr:from>
    <xdr:to>
      <xdr:col>2</xdr:col>
      <xdr:colOff>2104230</xdr:colOff>
      <xdr:row>13</xdr:row>
      <xdr:rowOff>582465</xdr:rowOff>
    </xdr:to>
    <xdr:sp macro="" textlink="">
      <xdr:nvSpPr>
        <xdr:cNvPr id="296" name="TextBox 295">
          <a:extLst>
            <a:ext uri="{FF2B5EF4-FFF2-40B4-BE49-F238E27FC236}">
              <a16:creationId xmlns:a16="http://schemas.microsoft.com/office/drawing/2014/main" id="{905C8140-E277-BA44-9886-FC455854F6FB}"/>
            </a:ext>
          </a:extLst>
        </xdr:cNvPr>
        <xdr:cNvSpPr txBox="1"/>
      </xdr:nvSpPr>
      <xdr:spPr>
        <a:xfrm>
          <a:off x="1971938" y="10929719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3</xdr:col>
      <xdr:colOff>1875316</xdr:colOff>
      <xdr:row>12</xdr:row>
      <xdr:rowOff>90821</xdr:rowOff>
    </xdr:from>
    <xdr:to>
      <xdr:col>3</xdr:col>
      <xdr:colOff>2428754</xdr:colOff>
      <xdr:row>13</xdr:row>
      <xdr:rowOff>184945</xdr:rowOff>
    </xdr:to>
    <xdr:sp macro="" textlink="'Sprint Summary | data'!J52">
      <xdr:nvSpPr>
        <xdr:cNvPr id="297" name="TextBox 296">
          <a:extLst>
            <a:ext uri="{FF2B5EF4-FFF2-40B4-BE49-F238E27FC236}">
              <a16:creationId xmlns:a16="http://schemas.microsoft.com/office/drawing/2014/main" id="{A1167E6D-4076-9F40-8556-5437AF11E44E}"/>
            </a:ext>
          </a:extLst>
        </xdr:cNvPr>
        <xdr:cNvSpPr txBox="1"/>
      </xdr:nvSpPr>
      <xdr:spPr>
        <a:xfrm>
          <a:off x="5456716" y="105937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958386</xdr:colOff>
      <xdr:row>12</xdr:row>
      <xdr:rowOff>82629</xdr:rowOff>
    </xdr:from>
    <xdr:to>
      <xdr:col>3</xdr:col>
      <xdr:colOff>1974916</xdr:colOff>
      <xdr:row>13</xdr:row>
      <xdr:rowOff>167438</xdr:rowOff>
    </xdr:to>
    <xdr:sp macro="" textlink="">
      <xdr:nvSpPr>
        <xdr:cNvPr id="298" name="TextBox 297">
          <a:extLst>
            <a:ext uri="{FF2B5EF4-FFF2-40B4-BE49-F238E27FC236}">
              <a16:creationId xmlns:a16="http://schemas.microsoft.com/office/drawing/2014/main" id="{BD8E43FC-1543-DE46-90F9-59BF58CAC93F}"/>
            </a:ext>
          </a:extLst>
        </xdr:cNvPr>
        <xdr:cNvSpPr txBox="1"/>
      </xdr:nvSpPr>
      <xdr:spPr>
        <a:xfrm>
          <a:off x="4539786" y="10585529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1876904</xdr:colOff>
      <xdr:row>13</xdr:row>
      <xdr:rowOff>190040</xdr:rowOff>
    </xdr:from>
    <xdr:to>
      <xdr:col>3</xdr:col>
      <xdr:colOff>2430342</xdr:colOff>
      <xdr:row>13</xdr:row>
      <xdr:rowOff>563564</xdr:rowOff>
    </xdr:to>
    <xdr:sp macro="" textlink="'Sprint Summary | data'!J53">
      <xdr:nvSpPr>
        <xdr:cNvPr id="299" name="TextBox 298">
          <a:extLst>
            <a:ext uri="{FF2B5EF4-FFF2-40B4-BE49-F238E27FC236}">
              <a16:creationId xmlns:a16="http://schemas.microsoft.com/office/drawing/2014/main" id="{B6BE343D-5303-F74B-9210-65B96AB7DC6A}"/>
            </a:ext>
          </a:extLst>
        </xdr:cNvPr>
        <xdr:cNvSpPr txBox="1"/>
      </xdr:nvSpPr>
      <xdr:spPr>
        <a:xfrm>
          <a:off x="5458304" y="10972340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897415</xdr:colOff>
      <xdr:row>13</xdr:row>
      <xdr:rowOff>153047</xdr:rowOff>
    </xdr:from>
    <xdr:to>
      <xdr:col>3</xdr:col>
      <xdr:colOff>1983002</xdr:colOff>
      <xdr:row>13</xdr:row>
      <xdr:rowOff>589609</xdr:rowOff>
    </xdr:to>
    <xdr:sp macro="" textlink="">
      <xdr:nvSpPr>
        <xdr:cNvPr id="300" name="TextBox 299">
          <a:extLst>
            <a:ext uri="{FF2B5EF4-FFF2-40B4-BE49-F238E27FC236}">
              <a16:creationId xmlns:a16="http://schemas.microsoft.com/office/drawing/2014/main" id="{FFE10535-1AE9-EC4B-94CF-E2CA959E9ACE}"/>
            </a:ext>
          </a:extLst>
        </xdr:cNvPr>
        <xdr:cNvSpPr txBox="1"/>
      </xdr:nvSpPr>
      <xdr:spPr>
        <a:xfrm>
          <a:off x="4478815" y="1093534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2145326</xdr:colOff>
      <xdr:row>3</xdr:row>
      <xdr:rowOff>1983945</xdr:rowOff>
    </xdr:from>
    <xdr:to>
      <xdr:col>3</xdr:col>
      <xdr:colOff>102265</xdr:colOff>
      <xdr:row>4</xdr:row>
      <xdr:rowOff>833921</xdr:rowOff>
    </xdr:to>
    <xdr:cxnSp macro="">
      <xdr:nvCxnSpPr>
        <xdr:cNvPr id="303" name="Connector: Curved 173">
          <a:extLst>
            <a:ext uri="{FF2B5EF4-FFF2-40B4-BE49-F238E27FC236}">
              <a16:creationId xmlns:a16="http://schemas.microsoft.com/office/drawing/2014/main" id="{FA290DE7-FC17-DC4B-AC58-5E5CC991DE82}"/>
            </a:ext>
          </a:extLst>
        </xdr:cNvPr>
        <xdr:cNvCxnSpPr>
          <a:cxnSpLocks/>
          <a:endCxn id="67" idx="4"/>
        </xdr:cNvCxnSpPr>
      </xdr:nvCxnSpPr>
      <xdr:spPr>
        <a:xfrm flipV="1">
          <a:off x="2932577" y="4382834"/>
          <a:ext cx="749454" cy="1939567"/>
        </a:xfrm>
        <a:prstGeom prst="curvedConnector2">
          <a:avLst/>
        </a:prstGeom>
        <a:ln w="12700">
          <a:solidFill>
            <a:schemeClr val="bg2">
              <a:lumMod val="75000"/>
            </a:schemeClr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1578453</xdr:colOff>
      <xdr:row>7</xdr:row>
      <xdr:rowOff>133350</xdr:rowOff>
    </xdr:from>
    <xdr:to>
      <xdr:col>3</xdr:col>
      <xdr:colOff>2540000</xdr:colOff>
      <xdr:row>10</xdr:row>
      <xdr:rowOff>132557</xdr:rowOff>
    </xdr:to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3D5EED84-7DC0-1046-8231-1BB3F2775247}"/>
            </a:ext>
          </a:extLst>
        </xdr:cNvPr>
        <xdr:cNvSpPr txBox="1"/>
      </xdr:nvSpPr>
      <xdr:spPr>
        <a:xfrm>
          <a:off x="5159853" y="9239250"/>
          <a:ext cx="961547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79477" y="2473325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54077" y="5562600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50901" y="8439151"/>
          <a:ext cx="3241673" cy="757466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53377" y="2482850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69252" y="5581650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69740" y="6143625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72777" y="5559425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10526" y="8467726"/>
          <a:ext cx="3587748" cy="778330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40675" y="11366500"/>
          <a:ext cx="3603623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67676" y="8897710"/>
          <a:ext cx="4403725" cy="2068116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50900" y="11331575"/>
          <a:ext cx="6397623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71614" y="2476867"/>
          <a:ext cx="1931619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10838" y="2477598"/>
          <a:ext cx="2481018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59234" y="981870"/>
          <a:ext cx="2697954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08525" y="1872264"/>
          <a:ext cx="7148467" cy="3289085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51008" y="13201245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85856" y="13428662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85856" y="13785849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85856" y="14146534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09891" y="13535269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44739" y="13762686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44739" y="14119873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88120" y="13169587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22968" y="13397004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22968" y="13754191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22968" y="14114876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47993" y="3440068"/>
          <a:ext cx="4303562" cy="4272040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67504" y="3436588"/>
          <a:ext cx="3726709" cy="4327575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21727" y="3151553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2607348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53747" y="6255635"/>
          <a:ext cx="5556249" cy="1838113"/>
          <a:chOff x="1164168" y="6272568"/>
          <a:chExt cx="5556249" cy="1838113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838118-3DD3-F241-AC54-72DC755F6758}"/>
            </a:ext>
          </a:extLst>
        </xdr:cNvPr>
        <xdr:cNvSpPr txBox="1"/>
      </xdr:nvSpPr>
      <xdr:spPr>
        <a:xfrm>
          <a:off x="844551" y="655864"/>
          <a:ext cx="8518524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04F9A72-2BD6-4942-AB4C-BE2EB254798D}"/>
            </a:ext>
          </a:extLst>
        </xdr:cNvPr>
        <xdr:cNvSpPr txBox="1"/>
      </xdr:nvSpPr>
      <xdr:spPr>
        <a:xfrm>
          <a:off x="1796941" y="1773748"/>
          <a:ext cx="6514192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F0028BFB-E7D0-1747-B8B3-1123F3B9C5B1}"/>
            </a:ext>
          </a:extLst>
        </xdr:cNvPr>
        <xdr:cNvSpPr txBox="1"/>
      </xdr:nvSpPr>
      <xdr:spPr>
        <a:xfrm>
          <a:off x="19905516" y="691242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A565F7F4-0D21-454B-9632-FAA94A95A3A1}"/>
            </a:ext>
          </a:extLst>
        </xdr:cNvPr>
        <xdr:cNvSpPr txBox="1"/>
      </xdr:nvSpPr>
      <xdr:spPr>
        <a:xfrm>
          <a:off x="19611521" y="1953985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FFA294A-6DBA-BF44-A602-6CFA66F09BDA}"/>
            </a:ext>
          </a:extLst>
        </xdr:cNvPr>
        <xdr:cNvGrpSpPr/>
      </xdr:nvGrpSpPr>
      <xdr:grpSpPr>
        <a:xfrm>
          <a:off x="879477" y="2473325"/>
          <a:ext cx="2470148" cy="536575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828A4C23-E2D2-225B-2C9E-3AF871E672F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EC9C42-233F-E7ED-5F4C-C2F258C20638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81F603F2-07E1-3240-9B8D-60193A17D5BF}"/>
            </a:ext>
          </a:extLst>
        </xdr:cNvPr>
        <xdr:cNvGrpSpPr/>
      </xdr:nvGrpSpPr>
      <xdr:grpSpPr>
        <a:xfrm>
          <a:off x="854077" y="5562600"/>
          <a:ext cx="2676522" cy="530225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9AE6EB59-0475-4935-01FD-3A91712BADC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A231926-E772-43E5-59A1-1568447F9191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A767520-FBEF-164E-A9D7-B6B9E804EEE5}"/>
            </a:ext>
          </a:extLst>
        </xdr:cNvPr>
        <xdr:cNvGrpSpPr/>
      </xdr:nvGrpSpPr>
      <xdr:grpSpPr>
        <a:xfrm>
          <a:off x="850901" y="8439151"/>
          <a:ext cx="3241673" cy="757466"/>
          <a:chOff x="1920876" y="1854200"/>
          <a:chExt cx="3238163" cy="43368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E9D41B65-8BCF-F87B-43C5-B42FDCDEA61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50DF406-1DC3-4E0A-2223-43EF2547BB26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27C8EEF-264C-BD40-83FF-721DC32421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DC6A634-9761-BC49-9D92-6D603D08E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18" name="TextBox 17">
          <a:extLst>
            <a:ext uri="{FF2B5EF4-FFF2-40B4-BE49-F238E27FC236}">
              <a16:creationId xmlns:a16="http://schemas.microsoft.com/office/drawing/2014/main" id="{B4E500C2-74B4-DB4E-B552-DD588ED4B6D1}"/>
            </a:ext>
          </a:extLst>
        </xdr:cNvPr>
        <xdr:cNvSpPr txBox="1"/>
      </xdr:nvSpPr>
      <xdr:spPr>
        <a:xfrm>
          <a:off x="10683877" y="3835400"/>
          <a:ext cx="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19" name="TextBox 18">
          <a:extLst>
            <a:ext uri="{FF2B5EF4-FFF2-40B4-BE49-F238E27FC236}">
              <a16:creationId xmlns:a16="http://schemas.microsoft.com/office/drawing/2014/main" id="{B89501DB-7E29-A54B-9C6D-9EEF53AFAEEA}"/>
            </a:ext>
          </a:extLst>
        </xdr:cNvPr>
        <xdr:cNvSpPr txBox="1"/>
      </xdr:nvSpPr>
      <xdr:spPr>
        <a:xfrm>
          <a:off x="10680702" y="4638675"/>
          <a:ext cx="3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D6D8357B-49D0-AE4D-B229-3949387FB6F7}"/>
            </a:ext>
          </a:extLst>
        </xdr:cNvPr>
        <xdr:cNvGrpSpPr/>
      </xdr:nvGrpSpPr>
      <xdr:grpSpPr>
        <a:xfrm>
          <a:off x="7953377" y="2482850"/>
          <a:ext cx="2466973" cy="536575"/>
          <a:chOff x="1920877" y="1854200"/>
          <a:chExt cx="2470148" cy="536575"/>
        </a:xfrm>
      </xdr:grpSpPr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D3444C7A-6AE2-AB60-3CE3-9335D23F4684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6363DD87-E10F-4EF0-49C6-F5D7540315AB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9119B8A3-53AE-D04D-A714-4A2B17AD271D}"/>
            </a:ext>
          </a:extLst>
        </xdr:cNvPr>
        <xdr:cNvGrpSpPr/>
      </xdr:nvGrpSpPr>
      <xdr:grpSpPr>
        <a:xfrm>
          <a:off x="7969252" y="5581650"/>
          <a:ext cx="2355848" cy="530225"/>
          <a:chOff x="1920877" y="1854200"/>
          <a:chExt cx="2340804" cy="536575"/>
        </a:xfrm>
      </xdr:grpSpPr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470287D-BD22-41A5-0CFE-BB5296917845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11579012-7C12-FACE-FAD5-0D1D09074EC7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92B574D7-D66A-D643-B8AB-CC58F53BE7F7}"/>
            </a:ext>
          </a:extLst>
        </xdr:cNvPr>
        <xdr:cNvGrpSpPr/>
      </xdr:nvGrpSpPr>
      <xdr:grpSpPr>
        <a:xfrm>
          <a:off x="8069740" y="6143625"/>
          <a:ext cx="2179786" cy="901700"/>
          <a:chOff x="6190137" y="5534025"/>
          <a:chExt cx="2182604" cy="901700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75123831-2305-2AB8-F325-9AE70FB8820E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0" name="Rectangle 29">
              <a:extLst>
                <a:ext uri="{FF2B5EF4-FFF2-40B4-BE49-F238E27FC236}">
                  <a16:creationId xmlns:a16="http://schemas.microsoft.com/office/drawing/2014/main" id="{2A15AEFA-15CF-59ED-1353-60EBC2203974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1" name="TextBox 30">
              <a:extLst>
                <a:ext uri="{FF2B5EF4-FFF2-40B4-BE49-F238E27FC236}">
                  <a16:creationId xmlns:a16="http://schemas.microsoft.com/office/drawing/2014/main" id="{E7F8C08E-CCF6-0048-8F38-9C458CE36B45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12B8756-C118-FB06-310B-5723BABA9078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3" name="TextBox 32">
              <a:extLst>
                <a:ext uri="{FF2B5EF4-FFF2-40B4-BE49-F238E27FC236}">
                  <a16:creationId xmlns:a16="http://schemas.microsoft.com/office/drawing/2014/main" id="{B1DDD55C-5E71-544F-160C-5AB4FAE9564D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34A9B8C5-5B8D-FFC9-7812-FFFC331D36F1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A871546-C6B4-F662-8939-5BC0C62EAE5D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E2BDA413-36FB-384E-8101-8E267B3B5270}"/>
            </a:ext>
          </a:extLst>
        </xdr:cNvPr>
        <xdr:cNvGrpSpPr/>
      </xdr:nvGrpSpPr>
      <xdr:grpSpPr>
        <a:xfrm>
          <a:off x="10772777" y="5559425"/>
          <a:ext cx="2403472" cy="536575"/>
          <a:chOff x="1920877" y="1854200"/>
          <a:chExt cx="2394604" cy="536575"/>
        </a:xfrm>
      </xdr:grpSpPr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007A6DAF-0532-B063-98C9-9559A02EE01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2002B39C-112D-D729-E13C-52AED6B104F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37" name="TextBox 36">
          <a:extLst>
            <a:ext uri="{FF2B5EF4-FFF2-40B4-BE49-F238E27FC236}">
              <a16:creationId xmlns:a16="http://schemas.microsoft.com/office/drawing/2014/main" id="{16C6ACBC-CF0F-B14E-9C4E-AEDE35B72470}"/>
            </a:ext>
          </a:extLst>
        </xdr:cNvPr>
        <xdr:cNvSpPr txBox="1"/>
      </xdr:nvSpPr>
      <xdr:spPr>
        <a:xfrm>
          <a:off x="11176000" y="62007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C371EEA9-7654-6B42-978F-CFB9EDAF3BD7}"/>
            </a:ext>
          </a:extLst>
        </xdr:cNvPr>
        <xdr:cNvGrpSpPr/>
      </xdr:nvGrpSpPr>
      <xdr:grpSpPr>
        <a:xfrm>
          <a:off x="18071614" y="2476867"/>
          <a:ext cx="1931619" cy="542925"/>
          <a:chOff x="1920877" y="1854200"/>
          <a:chExt cx="1808134" cy="536575"/>
        </a:xfrm>
      </xdr:grpSpPr>
      <xdr:sp macro="" textlink="">
        <xdr:nvSpPr>
          <xdr:cNvPr id="52" name="TextBox 51">
            <a:extLst>
              <a:ext uri="{FF2B5EF4-FFF2-40B4-BE49-F238E27FC236}">
                <a16:creationId xmlns:a16="http://schemas.microsoft.com/office/drawing/2014/main" id="{3F389EF6-17E8-E608-E5DA-4B00BFAEE7DE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11A21064-2C81-DA00-50DD-AC4A4C8BB294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B3FBF3B0-F572-A34B-83BF-50188E2280D8}"/>
            </a:ext>
          </a:extLst>
        </xdr:cNvPr>
        <xdr:cNvGrpSpPr/>
      </xdr:nvGrpSpPr>
      <xdr:grpSpPr>
        <a:xfrm>
          <a:off x="15410838" y="2477598"/>
          <a:ext cx="2481018" cy="542925"/>
          <a:chOff x="2623745" y="1854200"/>
          <a:chExt cx="1815534" cy="536575"/>
        </a:xfrm>
      </xdr:grpSpPr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C641BF28-015E-730D-34B1-1F58F45D1601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5CC7E641-74F9-834D-1D28-1A4B9F04A938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3A8912B-B9C8-1F46-946C-8E447CCB6C4B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CC63FDE7-6A4B-B640-80BE-C37D8DCDB1B2}"/>
            </a:ext>
          </a:extLst>
        </xdr:cNvPr>
        <xdr:cNvSpPr/>
      </xdr:nvSpPr>
      <xdr:spPr>
        <a:xfrm>
          <a:off x="10229334" y="892089"/>
          <a:ext cx="2999425" cy="151145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25E28BB3-D6A3-654C-BAE8-46E9A44CB19A}"/>
            </a:ext>
          </a:extLst>
        </xdr:cNvPr>
        <xdr:cNvGrpSpPr/>
      </xdr:nvGrpSpPr>
      <xdr:grpSpPr>
        <a:xfrm>
          <a:off x="10359234" y="981870"/>
          <a:ext cx="2697954" cy="536575"/>
          <a:chOff x="1920877" y="1854200"/>
          <a:chExt cx="2470148" cy="536575"/>
        </a:xfrm>
      </xdr:grpSpPr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82569693-E099-2829-C14A-63F5C70A7BA4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6FEF5BFF-8545-E549-4408-DA65193CE9AB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359EC9A1-27F1-A541-9359-946408CB7590}"/>
            </a:ext>
          </a:extLst>
        </xdr:cNvPr>
        <xdr:cNvSpPr txBox="1"/>
      </xdr:nvSpPr>
      <xdr:spPr>
        <a:xfrm>
          <a:off x="10898049" y="1526831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298EDA8C-33A9-AD47-91EA-97E98B341899}"/>
            </a:ext>
          </a:extLst>
        </xdr:cNvPr>
        <xdr:cNvSpPr txBox="1"/>
      </xdr:nvSpPr>
      <xdr:spPr>
        <a:xfrm>
          <a:off x="10912612" y="1934819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64" name="TextBox 63">
          <a:extLst>
            <a:ext uri="{FF2B5EF4-FFF2-40B4-BE49-F238E27FC236}">
              <a16:creationId xmlns:a16="http://schemas.microsoft.com/office/drawing/2014/main" id="{4A68AFB7-7906-C943-8C47-D9E4624997AB}"/>
            </a:ext>
          </a:extLst>
        </xdr:cNvPr>
        <xdr:cNvSpPr txBox="1"/>
      </xdr:nvSpPr>
      <xdr:spPr>
        <a:xfrm>
          <a:off x="11891329" y="1491111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65" name="TextBox 64">
          <a:extLst>
            <a:ext uri="{FF2B5EF4-FFF2-40B4-BE49-F238E27FC236}">
              <a16:creationId xmlns:a16="http://schemas.microsoft.com/office/drawing/2014/main" id="{FD0DDCCF-905C-8249-A760-94BC4098143D}"/>
            </a:ext>
          </a:extLst>
        </xdr:cNvPr>
        <xdr:cNvSpPr txBox="1"/>
      </xdr:nvSpPr>
      <xdr:spPr>
        <a:xfrm>
          <a:off x="12028646" y="1887193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38537B87-FF6C-5843-A556-E68139B9D8E9}"/>
            </a:ext>
          </a:extLst>
        </xdr:cNvPr>
        <xdr:cNvGrpSpPr/>
      </xdr:nvGrpSpPr>
      <xdr:grpSpPr>
        <a:xfrm>
          <a:off x="9508525" y="1872264"/>
          <a:ext cx="7148467" cy="3289085"/>
          <a:chOff x="8855676" y="1884369"/>
          <a:chExt cx="6442159" cy="3287477"/>
        </a:xfrm>
      </xdr:grpSpPr>
      <xdr:sp macro="" textlink="">
        <xdr:nvSpPr>
          <xdr:cNvPr id="67" name="Oval 66">
            <a:extLst>
              <a:ext uri="{FF2B5EF4-FFF2-40B4-BE49-F238E27FC236}">
                <a16:creationId xmlns:a16="http://schemas.microsoft.com/office/drawing/2014/main" id="{EBAB9FE5-1B15-7E80-50B6-BF971E28801F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68" name="Oval 67">
            <a:extLst>
              <a:ext uri="{FF2B5EF4-FFF2-40B4-BE49-F238E27FC236}">
                <a16:creationId xmlns:a16="http://schemas.microsoft.com/office/drawing/2014/main" id="{FE6A10CC-E751-B2F2-0817-9D31E178A5DF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69" name="Connector: Curved 173">
            <a:extLst>
              <a:ext uri="{FF2B5EF4-FFF2-40B4-BE49-F238E27FC236}">
                <a16:creationId xmlns:a16="http://schemas.microsoft.com/office/drawing/2014/main" id="{75C9239A-4FA5-C002-6922-0375FD19DF61}"/>
              </a:ext>
            </a:extLst>
          </xdr:cNvPr>
          <xdr:cNvCxnSpPr>
            <a:stCxn id="67" idx="6"/>
            <a:endCxn id="68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0" name="Freeform: Shape 181">
            <a:extLst>
              <a:ext uri="{FF2B5EF4-FFF2-40B4-BE49-F238E27FC236}">
                <a16:creationId xmlns:a16="http://schemas.microsoft.com/office/drawing/2014/main" id="{F1E82CFA-C5FC-ECCA-A227-9255AFE6A33A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71" name="Graphic 70">
          <a:extLst>
            <a:ext uri="{FF2B5EF4-FFF2-40B4-BE49-F238E27FC236}">
              <a16:creationId xmlns:a16="http://schemas.microsoft.com/office/drawing/2014/main" id="{085DFF9D-9665-4C41-866F-DF3FDE276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486089" y="1923925"/>
          <a:ext cx="480456" cy="384175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8EAF8187-0C51-FF4D-B494-41DFE37FD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0446025" y="1536976"/>
          <a:ext cx="569154" cy="334480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C73F77-93C0-0947-B590-B0721B314F3A}"/>
            </a:ext>
          </a:extLst>
        </xdr:cNvPr>
        <xdr:cNvSpPr txBox="1"/>
      </xdr:nvSpPr>
      <xdr:spPr>
        <a:xfrm>
          <a:off x="19671875" y="93199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BFCC46B0-2860-7243-9A0A-18E4368C45E2}"/>
            </a:ext>
          </a:extLst>
        </xdr:cNvPr>
        <xdr:cNvSpPr txBox="1"/>
      </xdr:nvSpPr>
      <xdr:spPr>
        <a:xfrm>
          <a:off x="19667556" y="95993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D038979D-F500-6940-9AEF-389721992533}"/>
            </a:ext>
          </a:extLst>
        </xdr:cNvPr>
        <xdr:cNvSpPr/>
      </xdr:nvSpPr>
      <xdr:spPr>
        <a:xfrm>
          <a:off x="7969526" y="31319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5BF14EA4-4B53-2D4B-9C10-75F9DCADC5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77" name="TextBox 76">
          <a:extLst>
            <a:ext uri="{FF2B5EF4-FFF2-40B4-BE49-F238E27FC236}">
              <a16:creationId xmlns:a16="http://schemas.microsoft.com/office/drawing/2014/main" id="{C19583A4-3173-2E41-ACEC-7A2A4BBDB337}"/>
            </a:ext>
          </a:extLst>
        </xdr:cNvPr>
        <xdr:cNvSpPr txBox="1"/>
      </xdr:nvSpPr>
      <xdr:spPr>
        <a:xfrm>
          <a:off x="9847262" y="7561596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C84F36A6-32BF-4F49-A5EC-9831693893E9}"/>
            </a:ext>
          </a:extLst>
        </xdr:cNvPr>
        <xdr:cNvSpPr txBox="1"/>
      </xdr:nvSpPr>
      <xdr:spPr>
        <a:xfrm>
          <a:off x="9037638" y="7526285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79" name="TextBox 78">
          <a:extLst>
            <a:ext uri="{FF2B5EF4-FFF2-40B4-BE49-F238E27FC236}">
              <a16:creationId xmlns:a16="http://schemas.microsoft.com/office/drawing/2014/main" id="{92929C23-4B88-7E4F-A9B9-661759EE8A80}"/>
            </a:ext>
          </a:extLst>
        </xdr:cNvPr>
        <xdr:cNvSpPr txBox="1"/>
      </xdr:nvSpPr>
      <xdr:spPr>
        <a:xfrm>
          <a:off x="9848851" y="7940215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61456B96-7A9F-314A-B0DC-ADA8825A89DC}"/>
            </a:ext>
          </a:extLst>
        </xdr:cNvPr>
        <xdr:cNvSpPr txBox="1"/>
      </xdr:nvSpPr>
      <xdr:spPr>
        <a:xfrm>
          <a:off x="9035257" y="79039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81" name="TextBox 80">
          <a:extLst>
            <a:ext uri="{FF2B5EF4-FFF2-40B4-BE49-F238E27FC236}">
              <a16:creationId xmlns:a16="http://schemas.microsoft.com/office/drawing/2014/main" id="{698C90C0-E104-A74E-A6CA-557972CCB13C}"/>
            </a:ext>
          </a:extLst>
        </xdr:cNvPr>
        <xdr:cNvSpPr txBox="1"/>
      </xdr:nvSpPr>
      <xdr:spPr>
        <a:xfrm>
          <a:off x="12603163" y="7555246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187AD1AF-C47A-124F-93F5-704B03A21377}"/>
            </a:ext>
          </a:extLst>
        </xdr:cNvPr>
        <xdr:cNvSpPr txBox="1"/>
      </xdr:nvSpPr>
      <xdr:spPr>
        <a:xfrm>
          <a:off x="11686233" y="7547054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83" name="TextBox 82">
          <a:extLst>
            <a:ext uri="{FF2B5EF4-FFF2-40B4-BE49-F238E27FC236}">
              <a16:creationId xmlns:a16="http://schemas.microsoft.com/office/drawing/2014/main" id="{9E82DFB6-3A07-8F46-90C2-9E09D27D8BA6}"/>
            </a:ext>
          </a:extLst>
        </xdr:cNvPr>
        <xdr:cNvSpPr txBox="1"/>
      </xdr:nvSpPr>
      <xdr:spPr>
        <a:xfrm>
          <a:off x="12604751" y="7933865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CCF0A578-39A0-7C47-B772-7C6258263C3A}"/>
            </a:ext>
          </a:extLst>
        </xdr:cNvPr>
        <xdr:cNvSpPr txBox="1"/>
      </xdr:nvSpPr>
      <xdr:spPr>
        <a:xfrm>
          <a:off x="11625262" y="7896872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E610DF1E-07D0-5943-9477-8294F52420CB}"/>
            </a:ext>
          </a:extLst>
        </xdr:cNvPr>
        <xdr:cNvGrpSpPr/>
      </xdr:nvGrpSpPr>
      <xdr:grpSpPr>
        <a:xfrm>
          <a:off x="13547993" y="3440068"/>
          <a:ext cx="4303562" cy="4272040"/>
          <a:chOff x="12441033" y="3461845"/>
          <a:chExt cx="3993809" cy="4282919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3F2D66D0-804C-DB1A-3033-C5C2DB7E3A9C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149" name="TextBox 148">
              <a:extLst>
                <a:ext uri="{FF2B5EF4-FFF2-40B4-BE49-F238E27FC236}">
                  <a16:creationId xmlns:a16="http://schemas.microsoft.com/office/drawing/2014/main" id="{610AB44E-F5DE-71FD-3951-5FE39182D09C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150" name="TextBox 149">
              <a:extLst>
                <a:ext uri="{FF2B5EF4-FFF2-40B4-BE49-F238E27FC236}">
                  <a16:creationId xmlns:a16="http://schemas.microsoft.com/office/drawing/2014/main" id="{5453023D-F15C-95DF-8DDF-3871B8B88A2B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151" name="TextBox 150">
              <a:extLst>
                <a:ext uri="{FF2B5EF4-FFF2-40B4-BE49-F238E27FC236}">
                  <a16:creationId xmlns:a16="http://schemas.microsoft.com/office/drawing/2014/main" id="{D5167D6A-0279-DAAE-1A41-6F8568E2AF2B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152" name="TextBox 151">
              <a:extLst>
                <a:ext uri="{FF2B5EF4-FFF2-40B4-BE49-F238E27FC236}">
                  <a16:creationId xmlns:a16="http://schemas.microsoft.com/office/drawing/2014/main" id="{901B9465-B94D-EB00-38E5-AE78CDEFBF7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53" name="TextBox 152">
              <a:extLst>
                <a:ext uri="{FF2B5EF4-FFF2-40B4-BE49-F238E27FC236}">
                  <a16:creationId xmlns:a16="http://schemas.microsoft.com/office/drawing/2014/main" id="{7E4C646C-C773-3DFA-AAF8-FADCB65E13EB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154" name="TextBox 153">
              <a:extLst>
                <a:ext uri="{FF2B5EF4-FFF2-40B4-BE49-F238E27FC236}">
                  <a16:creationId xmlns:a16="http://schemas.microsoft.com/office/drawing/2014/main" id="{46800B35-9C4F-13B5-88EE-F41473D47B23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155" name="TextBox 154">
              <a:extLst>
                <a:ext uri="{FF2B5EF4-FFF2-40B4-BE49-F238E27FC236}">
                  <a16:creationId xmlns:a16="http://schemas.microsoft.com/office/drawing/2014/main" id="{93676547-85C2-CEA3-2E4C-823FD9B30393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156" name="TextBox 155">
              <a:extLst>
                <a:ext uri="{FF2B5EF4-FFF2-40B4-BE49-F238E27FC236}">
                  <a16:creationId xmlns:a16="http://schemas.microsoft.com/office/drawing/2014/main" id="{76DEA465-3A88-EE1E-210C-3A5022176BA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57" name="TextBox 156">
              <a:extLst>
                <a:ext uri="{FF2B5EF4-FFF2-40B4-BE49-F238E27FC236}">
                  <a16:creationId xmlns:a16="http://schemas.microsoft.com/office/drawing/2014/main" id="{FA595EBA-31BA-00F7-560E-F457F08782CA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158" name="TextBox 157">
              <a:extLst>
                <a:ext uri="{FF2B5EF4-FFF2-40B4-BE49-F238E27FC236}">
                  <a16:creationId xmlns:a16="http://schemas.microsoft.com/office/drawing/2014/main" id="{5F36B2AC-5577-B648-EEAD-7D5C6DE014C8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59" name="Group 158">
              <a:extLst>
                <a:ext uri="{FF2B5EF4-FFF2-40B4-BE49-F238E27FC236}">
                  <a16:creationId xmlns:a16="http://schemas.microsoft.com/office/drawing/2014/main" id="{27AD596B-60C6-11E9-977F-56950D120EF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171" name="Rectangle 170">
                <a:extLst>
                  <a:ext uri="{FF2B5EF4-FFF2-40B4-BE49-F238E27FC236}">
                    <a16:creationId xmlns:a16="http://schemas.microsoft.com/office/drawing/2014/main" id="{25CE3663-2DF5-B7A7-4FFA-3C2CD0D93416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72" name="TextBox 171">
                <a:extLst>
                  <a:ext uri="{FF2B5EF4-FFF2-40B4-BE49-F238E27FC236}">
                    <a16:creationId xmlns:a16="http://schemas.microsoft.com/office/drawing/2014/main" id="{6B3F0566-4C09-A9F8-A94A-6169C5CA157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73" name="TextBox 172">
                <a:extLst>
                  <a:ext uri="{FF2B5EF4-FFF2-40B4-BE49-F238E27FC236}">
                    <a16:creationId xmlns:a16="http://schemas.microsoft.com/office/drawing/2014/main" id="{DD4CBFF7-288F-6D41-E219-6E7B927C9B8B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159C912C-E961-EC39-194B-712A553D78DB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44D0B68-05D2-9BA5-93B0-3B2356484EE1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62" name="TextBox 161">
              <a:extLst>
                <a:ext uri="{FF2B5EF4-FFF2-40B4-BE49-F238E27FC236}">
                  <a16:creationId xmlns:a16="http://schemas.microsoft.com/office/drawing/2014/main" id="{A243152C-EC54-E55D-39E8-7F38B484C01A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63" name="TextBox 162">
              <a:extLst>
                <a:ext uri="{FF2B5EF4-FFF2-40B4-BE49-F238E27FC236}">
                  <a16:creationId xmlns:a16="http://schemas.microsoft.com/office/drawing/2014/main" id="{8CA198FE-3EE0-6FE0-F696-B93854F23F8B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64" name="Connector: Curved 90">
              <a:extLst>
                <a:ext uri="{FF2B5EF4-FFF2-40B4-BE49-F238E27FC236}">
                  <a16:creationId xmlns:a16="http://schemas.microsoft.com/office/drawing/2014/main" id="{880F718E-BBBE-698C-6823-9A4127DFB309}"/>
                </a:ext>
              </a:extLst>
            </xdr:cNvPr>
            <xdr:cNvCxnSpPr>
              <a:stCxn id="151" idx="0"/>
              <a:endCxn id="150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5" name="Connector: Curved 93">
              <a:extLst>
                <a:ext uri="{FF2B5EF4-FFF2-40B4-BE49-F238E27FC236}">
                  <a16:creationId xmlns:a16="http://schemas.microsoft.com/office/drawing/2014/main" id="{2823B76E-D09F-BEAE-555D-9B5771402EA0}"/>
                </a:ext>
              </a:extLst>
            </xdr:cNvPr>
            <xdr:cNvCxnSpPr>
              <a:stCxn id="152" idx="0"/>
              <a:endCxn id="150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6" name="Connector: Curved 95">
              <a:extLst>
                <a:ext uri="{FF2B5EF4-FFF2-40B4-BE49-F238E27FC236}">
                  <a16:creationId xmlns:a16="http://schemas.microsoft.com/office/drawing/2014/main" id="{0120D0E9-2C99-D594-ABEE-8D87D1A0CCE6}"/>
                </a:ext>
              </a:extLst>
            </xdr:cNvPr>
            <xdr:cNvCxnSpPr>
              <a:stCxn id="150" idx="2"/>
              <a:endCxn id="153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67" name="TextBox 166">
              <a:extLst>
                <a:ext uri="{FF2B5EF4-FFF2-40B4-BE49-F238E27FC236}">
                  <a16:creationId xmlns:a16="http://schemas.microsoft.com/office/drawing/2014/main" id="{1133D987-BF1B-02AF-AC3B-7DF51C848EAE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68" name="TextBox 167">
              <a:extLst>
                <a:ext uri="{FF2B5EF4-FFF2-40B4-BE49-F238E27FC236}">
                  <a16:creationId xmlns:a16="http://schemas.microsoft.com/office/drawing/2014/main" id="{2B268174-F488-3BD6-CAE4-2FA1413BC4ED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69" name="TextBox 168">
              <a:extLst>
                <a:ext uri="{FF2B5EF4-FFF2-40B4-BE49-F238E27FC236}">
                  <a16:creationId xmlns:a16="http://schemas.microsoft.com/office/drawing/2014/main" id="{B212D817-F06C-8EEC-3A9E-A2D3C8CB23D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70" name="Connector: Curved 107">
              <a:extLst>
                <a:ext uri="{FF2B5EF4-FFF2-40B4-BE49-F238E27FC236}">
                  <a16:creationId xmlns:a16="http://schemas.microsoft.com/office/drawing/2014/main" id="{EDB59909-B756-2D09-E19F-42EF9F9235C0}"/>
                </a:ext>
              </a:extLst>
            </xdr:cNvPr>
            <xdr:cNvCxnSpPr>
              <a:stCxn id="171" idx="3"/>
              <a:endCxn id="154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148" name="TextBox 147">
            <a:extLst>
              <a:ext uri="{FF2B5EF4-FFF2-40B4-BE49-F238E27FC236}">
                <a16:creationId xmlns:a16="http://schemas.microsoft.com/office/drawing/2014/main" id="{75B11672-E034-1E18-02D4-23E5CD21598C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174" name="Group 173">
          <a:extLst>
            <a:ext uri="{FF2B5EF4-FFF2-40B4-BE49-F238E27FC236}">
              <a16:creationId xmlns:a16="http://schemas.microsoft.com/office/drawing/2014/main" id="{BBD7B083-8C29-5D41-B8AE-9059AEACB6C3}"/>
            </a:ext>
          </a:extLst>
        </xdr:cNvPr>
        <xdr:cNvGrpSpPr/>
      </xdr:nvGrpSpPr>
      <xdr:grpSpPr>
        <a:xfrm>
          <a:off x="18267504" y="3436588"/>
          <a:ext cx="3726709" cy="4327575"/>
          <a:chOff x="16776161" y="3458359"/>
          <a:chExt cx="3601523" cy="4338461"/>
        </a:xfrm>
      </xdr:grpSpPr>
      <xdr:grpSp>
        <xdr:nvGrpSpPr>
          <xdr:cNvPr id="175" name="Group 174">
            <a:extLst>
              <a:ext uri="{FF2B5EF4-FFF2-40B4-BE49-F238E27FC236}">
                <a16:creationId xmlns:a16="http://schemas.microsoft.com/office/drawing/2014/main" id="{F4C37C76-889F-20F7-CA38-76F6E2313BC8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77" name="TextBox 176">
              <a:extLst>
                <a:ext uri="{FF2B5EF4-FFF2-40B4-BE49-F238E27FC236}">
                  <a16:creationId xmlns:a16="http://schemas.microsoft.com/office/drawing/2014/main" id="{18F76736-7855-E7C9-B15C-99AF609E2AB1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78" name="TextBox 177">
              <a:extLst>
                <a:ext uri="{FF2B5EF4-FFF2-40B4-BE49-F238E27FC236}">
                  <a16:creationId xmlns:a16="http://schemas.microsoft.com/office/drawing/2014/main" id="{B5BD3E5E-FF88-D974-0E50-561C11DA7A13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79" name="TextBox 178">
              <a:extLst>
                <a:ext uri="{FF2B5EF4-FFF2-40B4-BE49-F238E27FC236}">
                  <a16:creationId xmlns:a16="http://schemas.microsoft.com/office/drawing/2014/main" id="{E8B4248C-847D-7EC3-876E-7AEC03C623B8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80" name="TextBox 179">
              <a:extLst>
                <a:ext uri="{FF2B5EF4-FFF2-40B4-BE49-F238E27FC236}">
                  <a16:creationId xmlns:a16="http://schemas.microsoft.com/office/drawing/2014/main" id="{4F086C3C-5BBC-58E2-D1F9-24F9D2B5F328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81" name="TextBox 180">
              <a:extLst>
                <a:ext uri="{FF2B5EF4-FFF2-40B4-BE49-F238E27FC236}">
                  <a16:creationId xmlns:a16="http://schemas.microsoft.com/office/drawing/2014/main" id="{A181A01A-838D-CF9F-71C8-9F6BB8514BC2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82" name="TextBox 181">
              <a:extLst>
                <a:ext uri="{FF2B5EF4-FFF2-40B4-BE49-F238E27FC236}">
                  <a16:creationId xmlns:a16="http://schemas.microsoft.com/office/drawing/2014/main" id="{859D4532-FBA7-295F-A797-42F6EE378D34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83" name="TextBox 182">
              <a:extLst>
                <a:ext uri="{FF2B5EF4-FFF2-40B4-BE49-F238E27FC236}">
                  <a16:creationId xmlns:a16="http://schemas.microsoft.com/office/drawing/2014/main" id="{C5893A0A-9B18-EBB1-CFF3-E20180AC6E3A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84" name="TextBox 183">
              <a:extLst>
                <a:ext uri="{FF2B5EF4-FFF2-40B4-BE49-F238E27FC236}">
                  <a16:creationId xmlns:a16="http://schemas.microsoft.com/office/drawing/2014/main" id="{FA52E88C-5B0A-175E-5751-D98C354979A7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85" name="TextBox 184">
              <a:extLst>
                <a:ext uri="{FF2B5EF4-FFF2-40B4-BE49-F238E27FC236}">
                  <a16:creationId xmlns:a16="http://schemas.microsoft.com/office/drawing/2014/main" id="{C106B471-8FDB-027E-8B73-D5CA4D146DC2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86" name="TextBox 185">
              <a:extLst>
                <a:ext uri="{FF2B5EF4-FFF2-40B4-BE49-F238E27FC236}">
                  <a16:creationId xmlns:a16="http://schemas.microsoft.com/office/drawing/2014/main" id="{A42B947D-AF4B-C3E7-1242-EF5EFC2D140D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87" name="Group 186">
              <a:extLst>
                <a:ext uri="{FF2B5EF4-FFF2-40B4-BE49-F238E27FC236}">
                  <a16:creationId xmlns:a16="http://schemas.microsoft.com/office/drawing/2014/main" id="{B9CDCB2D-65E9-9DB9-4F22-D99779F6DF53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99" name="Rectangle 198">
                <a:extLst>
                  <a:ext uri="{FF2B5EF4-FFF2-40B4-BE49-F238E27FC236}">
                    <a16:creationId xmlns:a16="http://schemas.microsoft.com/office/drawing/2014/main" id="{1986FDC4-8C5E-B990-BBE4-CC7A965BF04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200" name="TextBox 199">
                <a:extLst>
                  <a:ext uri="{FF2B5EF4-FFF2-40B4-BE49-F238E27FC236}">
                    <a16:creationId xmlns:a16="http://schemas.microsoft.com/office/drawing/2014/main" id="{1678CF4A-4DF7-DE64-D931-6672F9E187E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201" name="TextBox 200">
                <a:extLst>
                  <a:ext uri="{FF2B5EF4-FFF2-40B4-BE49-F238E27FC236}">
                    <a16:creationId xmlns:a16="http://schemas.microsoft.com/office/drawing/2014/main" id="{8A8D1071-1438-1BBC-3E9B-32396DB464A9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8AD79862-F01F-611A-88CC-6BB09C0CAD6C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65995450-9785-0965-3095-D2126642D3D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90" name="TextBox 189">
              <a:extLst>
                <a:ext uri="{FF2B5EF4-FFF2-40B4-BE49-F238E27FC236}">
                  <a16:creationId xmlns:a16="http://schemas.microsoft.com/office/drawing/2014/main" id="{DFF74CAE-C8A5-73A7-23B6-B156018C9A61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F5D78B8B-CE6C-8753-D3A1-E3DA56276683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92" name="Connector: Curved 132">
              <a:extLst>
                <a:ext uri="{FF2B5EF4-FFF2-40B4-BE49-F238E27FC236}">
                  <a16:creationId xmlns:a16="http://schemas.microsoft.com/office/drawing/2014/main" id="{978486DF-BB8F-485E-3A79-95630820B150}"/>
                </a:ext>
              </a:extLst>
            </xdr:cNvPr>
            <xdr:cNvCxnSpPr>
              <a:stCxn id="179" idx="0"/>
              <a:endCxn id="178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93" name="Connector: Curved 133">
              <a:extLst>
                <a:ext uri="{FF2B5EF4-FFF2-40B4-BE49-F238E27FC236}">
                  <a16:creationId xmlns:a16="http://schemas.microsoft.com/office/drawing/2014/main" id="{ABE0C8BC-386B-CDEF-D1BB-75EC324C372C}"/>
                </a:ext>
              </a:extLst>
            </xdr:cNvPr>
            <xdr:cNvCxnSpPr>
              <a:stCxn id="180" idx="0"/>
              <a:endCxn id="178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94" name="Connector: Curved 134">
              <a:extLst>
                <a:ext uri="{FF2B5EF4-FFF2-40B4-BE49-F238E27FC236}">
                  <a16:creationId xmlns:a16="http://schemas.microsoft.com/office/drawing/2014/main" id="{9D9A2DF2-2067-501E-BA7D-3C529F8BBC73}"/>
                </a:ext>
              </a:extLst>
            </xdr:cNvPr>
            <xdr:cNvCxnSpPr>
              <a:stCxn id="178" idx="2"/>
              <a:endCxn id="181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95" name="TextBox 194">
              <a:extLst>
                <a:ext uri="{FF2B5EF4-FFF2-40B4-BE49-F238E27FC236}">
                  <a16:creationId xmlns:a16="http://schemas.microsoft.com/office/drawing/2014/main" id="{761BC974-92FD-7D08-FE87-0BED8025665E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96" name="TextBox 195">
              <a:extLst>
                <a:ext uri="{FF2B5EF4-FFF2-40B4-BE49-F238E27FC236}">
                  <a16:creationId xmlns:a16="http://schemas.microsoft.com/office/drawing/2014/main" id="{CC99F214-E3B7-BF4D-3910-8A3934DAC142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97" name="TextBox 196">
              <a:extLst>
                <a:ext uri="{FF2B5EF4-FFF2-40B4-BE49-F238E27FC236}">
                  <a16:creationId xmlns:a16="http://schemas.microsoft.com/office/drawing/2014/main" id="{3901D166-F717-EF46-7A93-B1F3A2DDB2F7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98" name="Connector: Curved 138">
              <a:extLst>
                <a:ext uri="{FF2B5EF4-FFF2-40B4-BE49-F238E27FC236}">
                  <a16:creationId xmlns:a16="http://schemas.microsoft.com/office/drawing/2014/main" id="{363DBEBD-A650-6D62-F466-D6CF93221475}"/>
                </a:ext>
              </a:extLst>
            </xdr:cNvPr>
            <xdr:cNvCxnSpPr>
              <a:stCxn id="199" idx="3"/>
              <a:endCxn id="182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6" name="TextBox 175">
            <a:extLst>
              <a:ext uri="{FF2B5EF4-FFF2-40B4-BE49-F238E27FC236}">
                <a16:creationId xmlns:a16="http://schemas.microsoft.com/office/drawing/2014/main" id="{447208B0-5CD1-9B25-7409-0E80BFBF0429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3" name="Group 202">
          <a:extLst>
            <a:ext uri="{FF2B5EF4-FFF2-40B4-BE49-F238E27FC236}">
              <a16:creationId xmlns:a16="http://schemas.microsoft.com/office/drawing/2014/main" id="{CF807F0B-3D14-BE4C-8AB3-9C53A2849D2C}"/>
            </a:ext>
          </a:extLst>
        </xdr:cNvPr>
        <xdr:cNvGrpSpPr/>
      </xdr:nvGrpSpPr>
      <xdr:grpSpPr>
        <a:xfrm>
          <a:off x="921727" y="3151553"/>
          <a:ext cx="6179038" cy="2168711"/>
          <a:chOff x="932148" y="3160997"/>
          <a:chExt cx="6179038" cy="2168711"/>
        </a:xfrm>
      </xdr:grpSpPr>
      <xdr:pic>
        <xdr:nvPicPr>
          <xdr:cNvPr id="204" name="Picture 203">
            <a:extLst>
              <a:ext uri="{FF2B5EF4-FFF2-40B4-BE49-F238E27FC236}">
                <a16:creationId xmlns:a16="http://schemas.microsoft.com/office/drawing/2014/main" id="{1A6D1BD7-2976-6A01-BABE-9906BB4A3B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205" name="TextBox 204">
            <a:extLst>
              <a:ext uri="{FF2B5EF4-FFF2-40B4-BE49-F238E27FC236}">
                <a16:creationId xmlns:a16="http://schemas.microsoft.com/office/drawing/2014/main" id="{8303515A-D033-2AE1-A919-0AE176BB938B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2607348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CD45E6CA-FA1A-2247-B51C-2168B2E0B24E}"/>
            </a:ext>
          </a:extLst>
        </xdr:cNvPr>
        <xdr:cNvGrpSpPr/>
      </xdr:nvGrpSpPr>
      <xdr:grpSpPr>
        <a:xfrm>
          <a:off x="1153747" y="6255635"/>
          <a:ext cx="5556249" cy="1838113"/>
          <a:chOff x="1164168" y="6272568"/>
          <a:chExt cx="5556249" cy="1838113"/>
        </a:xfrm>
      </xdr:grpSpPr>
      <xdr:pic>
        <xdr:nvPicPr>
          <xdr:cNvPr id="207" name="Picture 206">
            <a:extLst>
              <a:ext uri="{FF2B5EF4-FFF2-40B4-BE49-F238E27FC236}">
                <a16:creationId xmlns:a16="http://schemas.microsoft.com/office/drawing/2014/main" id="{D208A436-F3BC-6D30-9E27-5C5F11543E4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8" name="TextBox 207">
            <a:extLst>
              <a:ext uri="{FF2B5EF4-FFF2-40B4-BE49-F238E27FC236}">
                <a16:creationId xmlns:a16="http://schemas.microsoft.com/office/drawing/2014/main" id="{207587F9-A3CF-249F-92AB-4B8BB0B73CAB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118533</xdr:colOff>
      <xdr:row>6</xdr:row>
      <xdr:rowOff>304801</xdr:rowOff>
    </xdr:from>
    <xdr:to>
      <xdr:col>4</xdr:col>
      <xdr:colOff>2523066</xdr:colOff>
      <xdr:row>14</xdr:row>
      <xdr:rowOff>3200400</xdr:rowOff>
    </xdr:to>
    <xdr:graphicFrame macro="">
      <xdr:nvGraphicFramePr>
        <xdr:cNvPr id="209" name="Chart 208">
          <a:extLst>
            <a:ext uri="{FF2B5EF4-FFF2-40B4-BE49-F238E27FC236}">
              <a16:creationId xmlns:a16="http://schemas.microsoft.com/office/drawing/2014/main" id="{C9FD4A98-70DD-E644-95A1-4524B1203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6956902</xdr:colOff>
      <xdr:row>18</xdr:row>
      <xdr:rowOff>134867</xdr:rowOff>
    </xdr:from>
    <xdr:to>
      <xdr:col>6</xdr:col>
      <xdr:colOff>438318</xdr:colOff>
      <xdr:row>44</xdr:row>
      <xdr:rowOff>67434</xdr:rowOff>
    </xdr:to>
    <xdr:graphicFrame macro="">
      <xdr:nvGraphicFramePr>
        <xdr:cNvPr id="210" name="Chart 209">
          <a:extLst>
            <a:ext uri="{FF2B5EF4-FFF2-40B4-BE49-F238E27FC236}">
              <a16:creationId xmlns:a16="http://schemas.microsoft.com/office/drawing/2014/main" id="{A2AE8762-962F-DF43-8234-41EBF0740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2771-DBFA-BA4E-9A58-F114E89AB4A9}">
  <sheetPr>
    <tabColor rgb="FF006600"/>
  </sheetPr>
  <dimension ref="B1:W15"/>
  <sheetViews>
    <sheetView zoomScale="125" zoomScaleNormal="70" workbookViewId="0">
      <selection activeCell="W4" sqref="W4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36.6640625" style="32" customWidth="1"/>
    <col min="4" max="4" width="36.5" style="32" customWidth="1"/>
    <col min="5" max="5" width="4.5" style="32" customWidth="1"/>
    <col min="6" max="6" width="33.33203125" style="32" customWidth="1"/>
    <col min="7" max="7" width="11.1640625" style="32" customWidth="1"/>
    <col min="8" max="8" width="10.33203125" style="32" customWidth="1"/>
    <col min="9" max="9" width="10.1640625" style="32" customWidth="1"/>
    <col min="10" max="10" width="10.33203125" style="32" customWidth="1"/>
    <col min="11" max="11" width="38.33203125" style="32" customWidth="1"/>
    <col min="12" max="12" width="2.1640625" style="32" customWidth="1"/>
    <col min="13" max="16384" width="8.6640625" style="32"/>
  </cols>
  <sheetData>
    <row r="1" spans="2:23" ht="42.5" customHeight="1" x14ac:dyDescent="0.2"/>
    <row r="2" spans="2:2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spans="2:23" ht="137" customHeight="1" thickBot="1" x14ac:dyDescent="0.25">
      <c r="B3" s="31"/>
      <c r="C3" s="117"/>
      <c r="D3" s="117"/>
      <c r="E3" s="117"/>
      <c r="F3" s="117"/>
      <c r="G3" s="117"/>
      <c r="H3" s="117"/>
      <c r="I3" s="117"/>
      <c r="J3" s="117"/>
      <c r="K3" s="117"/>
      <c r="L3" s="36"/>
    </row>
    <row r="4" spans="2:23" ht="209" customHeight="1" thickBot="1" x14ac:dyDescent="0.25">
      <c r="B4" s="31"/>
      <c r="C4" s="123"/>
      <c r="D4" s="124"/>
      <c r="E4" s="130"/>
      <c r="F4" s="130"/>
      <c r="G4" s="130"/>
      <c r="H4" s="131"/>
      <c r="I4" s="129"/>
      <c r="J4" s="130"/>
      <c r="K4" s="131"/>
      <c r="L4" s="31"/>
      <c r="W4" s="143"/>
    </row>
    <row r="5" spans="2:23" ht="267" customHeight="1" thickBot="1" x14ac:dyDescent="0.25">
      <c r="B5" s="31"/>
      <c r="C5" s="141"/>
      <c r="D5" s="142"/>
      <c r="E5" s="118"/>
      <c r="F5" s="119"/>
      <c r="G5" s="119"/>
      <c r="H5" s="120"/>
      <c r="I5" s="118"/>
      <c r="J5" s="119"/>
      <c r="K5" s="120"/>
      <c r="L5" s="31"/>
    </row>
    <row r="6" spans="2:23" ht="24" customHeight="1" x14ac:dyDescent="0.2">
      <c r="B6" s="31"/>
      <c r="C6" s="121"/>
      <c r="D6" s="121"/>
      <c r="E6" s="35"/>
      <c r="F6" s="37"/>
      <c r="G6" s="38"/>
      <c r="H6" s="38"/>
      <c r="I6" s="38"/>
      <c r="J6" s="38"/>
      <c r="K6" s="39"/>
      <c r="L6" s="31"/>
    </row>
    <row r="7" spans="2:23" ht="27.5" customHeight="1" x14ac:dyDescent="0.2">
      <c r="B7" s="31"/>
      <c r="C7" s="122"/>
      <c r="D7" s="122"/>
      <c r="E7" s="34"/>
      <c r="F7" s="44"/>
      <c r="G7" s="132" t="s">
        <v>60</v>
      </c>
      <c r="H7" s="132"/>
      <c r="I7" s="132" t="s">
        <v>61</v>
      </c>
      <c r="J7" s="132"/>
      <c r="K7" s="40"/>
      <c r="L7" s="31"/>
    </row>
    <row r="8" spans="2:23" ht="22" customHeight="1" x14ac:dyDescent="0.2">
      <c r="B8" s="31"/>
      <c r="C8" s="122"/>
      <c r="D8" s="122"/>
      <c r="E8" s="34"/>
      <c r="F8" s="46" t="s">
        <v>9</v>
      </c>
      <c r="G8" s="47">
        <f>'Sprint Summary | data'!R18</f>
        <v>0</v>
      </c>
      <c r="H8" s="47" t="e">
        <f>'Sprint Summary | data'!S18</f>
        <v>#DIV/0!</v>
      </c>
      <c r="I8" s="47">
        <f>'Sprint Summary | data'!T18</f>
        <v>0</v>
      </c>
      <c r="J8" s="47" t="e">
        <f>'Sprint Summary | data'!U18</f>
        <v>#DIV/0!</v>
      </c>
      <c r="K8" s="40"/>
      <c r="L8" s="31"/>
    </row>
    <row r="9" spans="2:23" ht="22" customHeight="1" x14ac:dyDescent="0.2">
      <c r="B9" s="31"/>
      <c r="C9" s="122"/>
      <c r="D9" s="122"/>
      <c r="E9" s="34"/>
      <c r="F9" s="50" t="s">
        <v>10</v>
      </c>
      <c r="G9" s="50">
        <f>'Sprint Summary | data'!R19</f>
        <v>0</v>
      </c>
      <c r="H9" s="50" t="e">
        <f>'Sprint Summary | data'!S19</f>
        <v>#DIV/0!</v>
      </c>
      <c r="I9" s="50">
        <f>'Sprint Summary | data'!T19</f>
        <v>0</v>
      </c>
      <c r="J9" s="50" t="e">
        <f>'Sprint Summary | data'!U19</f>
        <v>#DIV/0!</v>
      </c>
      <c r="K9" s="52">
        <f>IF('Sprint Summary | data'!R28,1,0)</f>
        <v>0</v>
      </c>
      <c r="L9" s="31"/>
    </row>
    <row r="10" spans="2:23" ht="22" customHeight="1" x14ac:dyDescent="0.2">
      <c r="B10" s="31"/>
      <c r="C10" s="122"/>
      <c r="D10" s="122"/>
      <c r="E10" s="34"/>
      <c r="F10" s="51" t="s">
        <v>56</v>
      </c>
      <c r="G10" s="51">
        <f>'Sprint Summary | data'!R20</f>
        <v>0</v>
      </c>
      <c r="H10" s="51" t="e">
        <f>'Sprint Summary | data'!S20</f>
        <v>#DIV/0!</v>
      </c>
      <c r="I10" s="51">
        <f>'Sprint Summary | data'!T20</f>
        <v>0</v>
      </c>
      <c r="J10" s="51" t="e">
        <f>'Sprint Summary | data'!U20</f>
        <v>#DIV/0!</v>
      </c>
      <c r="K10" s="52">
        <f>IF('Sprint Summary | data'!R29,1,0)</f>
        <v>0</v>
      </c>
      <c r="L10" s="31"/>
    </row>
    <row r="11" spans="2:23" ht="22" customHeight="1" x14ac:dyDescent="0.2">
      <c r="B11" s="31"/>
      <c r="C11" s="122"/>
      <c r="D11" s="122"/>
      <c r="E11" s="34"/>
      <c r="F11" s="46" t="s">
        <v>59</v>
      </c>
      <c r="G11" s="47">
        <f>'Sprint Summary | data'!R21</f>
        <v>0</v>
      </c>
      <c r="H11" s="47" t="e">
        <f>'Sprint Summary | data'!S21</f>
        <v>#DIV/0!</v>
      </c>
      <c r="I11" s="47">
        <f>'Sprint Summary | data'!T21</f>
        <v>0</v>
      </c>
      <c r="J11" s="47" t="e">
        <f>'Sprint Summary | data'!U21</f>
        <v>#DIV/0!</v>
      </c>
      <c r="K11" s="40"/>
      <c r="L11" s="31"/>
    </row>
    <row r="12" spans="2:23" ht="22" customHeight="1" x14ac:dyDescent="0.2">
      <c r="B12" s="31"/>
      <c r="C12" s="122"/>
      <c r="D12" s="122"/>
      <c r="E12" s="34"/>
      <c r="F12" s="46" t="s">
        <v>57</v>
      </c>
      <c r="G12" s="47">
        <f>'Sprint Summary | data'!R22</f>
        <v>0</v>
      </c>
      <c r="H12" s="47" t="e">
        <f>'Sprint Summary | data'!S22</f>
        <v>#DIV/0!</v>
      </c>
      <c r="I12" s="47">
        <f>'Sprint Summary | data'!T22</f>
        <v>0</v>
      </c>
      <c r="J12" s="47" t="e">
        <f>'Sprint Summary | data'!U22</f>
        <v>#DIV/0!</v>
      </c>
      <c r="K12" s="40"/>
      <c r="L12" s="31"/>
    </row>
    <row r="13" spans="2:23" ht="22" customHeight="1" x14ac:dyDescent="0.2">
      <c r="B13" s="31"/>
      <c r="C13" s="122"/>
      <c r="D13" s="122"/>
      <c r="E13" s="34"/>
      <c r="F13" s="46" t="s">
        <v>58</v>
      </c>
      <c r="G13" s="47">
        <f>'Sprint Summary | data'!R23</f>
        <v>0</v>
      </c>
      <c r="H13" s="47" t="e">
        <f>'Sprint Summary | data'!S23</f>
        <v>#DIV/0!</v>
      </c>
      <c r="I13" s="47">
        <f>'Sprint Summary | data'!T23</f>
        <v>0</v>
      </c>
      <c r="J13" s="47" t="e">
        <f>'Sprint Summary | data'!U23</f>
        <v>#DIV/0!</v>
      </c>
      <c r="K13" s="40"/>
      <c r="L13" s="31"/>
    </row>
    <row r="14" spans="2:23" ht="47" customHeight="1" thickBot="1" x14ac:dyDescent="0.25">
      <c r="B14" s="31"/>
      <c r="C14" s="146"/>
      <c r="D14" s="146"/>
      <c r="E14" s="33"/>
      <c r="F14" s="41"/>
      <c r="G14" s="42"/>
      <c r="H14" s="42"/>
      <c r="I14" s="42"/>
      <c r="J14" s="42"/>
      <c r="K14" s="43"/>
      <c r="L14" s="31"/>
    </row>
    <row r="15" spans="2:23" ht="10" customHeight="1" x14ac:dyDescent="0.2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</row>
  </sheetData>
  <mergeCells count="9">
    <mergeCell ref="C5:D5"/>
    <mergeCell ref="C6:C14"/>
    <mergeCell ref="D6:D14"/>
    <mergeCell ref="C3:K3"/>
    <mergeCell ref="C4:D4"/>
    <mergeCell ref="E4:H5"/>
    <mergeCell ref="I4:K5"/>
    <mergeCell ref="G7:H7"/>
    <mergeCell ref="I7:J7"/>
  </mergeCells>
  <conditionalFormatting sqref="K9:K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C751F4EE-323F-A346-9F92-A25E4975EE77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F9:J9</xm:sqref>
        </x14:conditionalFormatting>
        <x14:conditionalFormatting xmlns:xm="http://schemas.microsoft.com/office/excel/2006/main">
          <x14:cfRule type="expression" priority="3" id="{8C1C90B7-EFE4-5743-83C6-F71D9B0F4A53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F10:J10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zoomScaleNormal="70" workbookViewId="0">
      <selection activeCell="P7" sqref="P7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6"/>
      <c r="D3" s="117"/>
      <c r="E3" s="117"/>
      <c r="F3" s="117"/>
      <c r="G3" s="117"/>
      <c r="H3" s="117"/>
      <c r="I3" s="117"/>
      <c r="J3" s="117"/>
      <c r="K3" s="117"/>
      <c r="L3" s="117"/>
      <c r="M3" s="36"/>
    </row>
    <row r="4" spans="2:13" ht="243.5" customHeight="1" thickBot="1" x14ac:dyDescent="0.25">
      <c r="B4" s="31"/>
      <c r="C4" s="29"/>
      <c r="D4" s="123"/>
      <c r="E4" s="124"/>
      <c r="F4" s="130"/>
      <c r="G4" s="130"/>
      <c r="H4" s="130"/>
      <c r="I4" s="131"/>
      <c r="J4" s="129"/>
      <c r="K4" s="130"/>
      <c r="L4" s="131"/>
      <c r="M4" s="31"/>
    </row>
    <row r="5" spans="2:13" ht="226.5" customHeight="1" thickBot="1" x14ac:dyDescent="0.25">
      <c r="B5" s="31"/>
      <c r="C5" s="30"/>
      <c r="D5" s="48"/>
      <c r="E5" s="49"/>
      <c r="F5" s="118"/>
      <c r="G5" s="119"/>
      <c r="H5" s="119"/>
      <c r="I5" s="120"/>
      <c r="J5" s="118"/>
      <c r="K5" s="119"/>
      <c r="L5" s="120"/>
      <c r="M5" s="31"/>
    </row>
    <row r="6" spans="2:13" ht="26.5" customHeight="1" x14ac:dyDescent="0.2">
      <c r="B6" s="31"/>
      <c r="C6" s="121"/>
      <c r="D6" s="125"/>
      <c r="E6" s="126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22"/>
      <c r="D7" s="116"/>
      <c r="E7" s="117"/>
      <c r="F7" s="34"/>
      <c r="G7" s="44"/>
      <c r="H7" s="132" t="s">
        <v>60</v>
      </c>
      <c r="I7" s="132"/>
      <c r="J7" s="132" t="s">
        <v>61</v>
      </c>
      <c r="K7" s="132"/>
      <c r="L7" s="40"/>
      <c r="M7" s="31"/>
    </row>
    <row r="8" spans="2:13" ht="22" customHeight="1" x14ac:dyDescent="0.2">
      <c r="B8" s="31"/>
      <c r="C8" s="122"/>
      <c r="D8" s="116"/>
      <c r="E8" s="117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22"/>
      <c r="D9" s="116"/>
      <c r="E9" s="117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22"/>
      <c r="D10" s="116"/>
      <c r="E10" s="117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22"/>
      <c r="D11" s="116"/>
      <c r="E11" s="117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22"/>
      <c r="D12" s="116"/>
      <c r="E12" s="117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22"/>
      <c r="D13" s="116"/>
      <c r="E13" s="117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22"/>
      <c r="D14" s="127"/>
      <c r="E14" s="128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22"/>
      <c r="D15" s="123"/>
      <c r="E15" s="124"/>
      <c r="F15" s="118"/>
      <c r="G15" s="119"/>
      <c r="H15" s="119"/>
      <c r="I15" s="119"/>
      <c r="J15" s="119"/>
      <c r="K15" s="119"/>
      <c r="L15" s="120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987BF-131C-FC46-AE08-0D3424202520}">
  <sheetPr>
    <tabColor rgb="FF006600"/>
  </sheetPr>
  <dimension ref="B1:M16"/>
  <sheetViews>
    <sheetView zoomScaleNormal="70" workbookViewId="0">
      <selection activeCell="Z15" sqref="Z15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6"/>
      <c r="D3" s="117"/>
      <c r="E3" s="117"/>
      <c r="F3" s="117"/>
      <c r="G3" s="117"/>
      <c r="H3" s="117"/>
      <c r="I3" s="117"/>
      <c r="J3" s="117"/>
      <c r="K3" s="117"/>
      <c r="L3" s="117"/>
      <c r="M3" s="36"/>
    </row>
    <row r="4" spans="2:13" ht="243.5" customHeight="1" thickBot="1" x14ac:dyDescent="0.25">
      <c r="B4" s="31"/>
      <c r="C4" s="29"/>
      <c r="D4" s="123"/>
      <c r="E4" s="124"/>
      <c r="F4" s="130"/>
      <c r="G4" s="130"/>
      <c r="H4" s="130"/>
      <c r="I4" s="131"/>
      <c r="J4" s="129"/>
      <c r="K4" s="130"/>
      <c r="L4" s="131"/>
      <c r="M4" s="31"/>
    </row>
    <row r="5" spans="2:13" ht="226.5" customHeight="1" thickBot="1" x14ac:dyDescent="0.25">
      <c r="B5" s="31"/>
      <c r="C5" s="30"/>
      <c r="D5" s="48"/>
      <c r="E5" s="49"/>
      <c r="F5" s="118"/>
      <c r="G5" s="119"/>
      <c r="H5" s="119"/>
      <c r="I5" s="120"/>
      <c r="J5" s="118"/>
      <c r="K5" s="119"/>
      <c r="L5" s="120"/>
      <c r="M5" s="31"/>
    </row>
    <row r="6" spans="2:13" ht="26.5" customHeight="1" x14ac:dyDescent="0.2">
      <c r="B6" s="31"/>
      <c r="C6" s="147"/>
      <c r="D6" s="148"/>
      <c r="E6" s="149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50"/>
      <c r="D7" s="151"/>
      <c r="E7" s="152"/>
      <c r="F7" s="34"/>
      <c r="G7" s="44"/>
      <c r="H7" s="132" t="s">
        <v>60</v>
      </c>
      <c r="I7" s="132"/>
      <c r="J7" s="132" t="s">
        <v>61</v>
      </c>
      <c r="K7" s="132"/>
      <c r="L7" s="40"/>
      <c r="M7" s="31"/>
    </row>
    <row r="8" spans="2:13" ht="22" customHeight="1" x14ac:dyDescent="0.2">
      <c r="B8" s="31"/>
      <c r="C8" s="150"/>
      <c r="D8" s="151"/>
      <c r="E8" s="152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50"/>
      <c r="D9" s="151"/>
      <c r="E9" s="152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50"/>
      <c r="D10" s="151"/>
      <c r="E10" s="152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50"/>
      <c r="D11" s="151"/>
      <c r="E11" s="152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50"/>
      <c r="D12" s="151"/>
      <c r="E12" s="152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50"/>
      <c r="D13" s="151"/>
      <c r="E13" s="152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x14ac:dyDescent="0.2">
      <c r="B14" s="31"/>
      <c r="C14" s="150"/>
      <c r="D14" s="151"/>
      <c r="E14" s="152"/>
      <c r="F14" s="116"/>
      <c r="G14" s="153"/>
      <c r="H14" s="153"/>
      <c r="I14" s="153"/>
      <c r="J14" s="153"/>
      <c r="K14" s="153"/>
      <c r="L14" s="144"/>
      <c r="M14" s="31"/>
    </row>
    <row r="15" spans="2:13" ht="264.5" customHeight="1" thickBot="1" x14ac:dyDescent="0.25">
      <c r="B15" s="31"/>
      <c r="C15" s="150"/>
      <c r="D15" s="151"/>
      <c r="E15" s="152"/>
      <c r="F15" s="127"/>
      <c r="G15" s="128"/>
      <c r="H15" s="128"/>
      <c r="I15" s="128"/>
      <c r="J15" s="128"/>
      <c r="K15" s="128"/>
      <c r="L15" s="145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8">
    <mergeCell ref="C6:E15"/>
    <mergeCell ref="F14:L15"/>
    <mergeCell ref="C3:L3"/>
    <mergeCell ref="D4:E4"/>
    <mergeCell ref="F4:I5"/>
    <mergeCell ref="J4:L5"/>
    <mergeCell ref="H7:I7"/>
    <mergeCell ref="J7:K7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DB57AE59-C179-6244-88B5-C6F98CE82AA7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3" id="{F64E62A3-A896-A547-A88B-B9573A5BBCC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143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topLeftCell="B131" zoomScale="115" zoomScaleNormal="115" workbookViewId="0">
      <selection activeCell="C11" sqref="C11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105" bestFit="1" customWidth="1"/>
    <col min="9" max="9" width="39" style="105" customWidth="1"/>
    <col min="10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33" t="s">
        <v>133</v>
      </c>
      <c r="C6" s="134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153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154</v>
      </c>
      <c r="D9" s="105"/>
      <c r="E9" s="105"/>
      <c r="F9" s="106"/>
      <c r="G9" s="105"/>
    </row>
    <row r="10" spans="2:7" x14ac:dyDescent="0.2">
      <c r="B10" s="76" t="s">
        <v>156</v>
      </c>
      <c r="C10" s="79" t="s">
        <v>155</v>
      </c>
      <c r="D10" s="105"/>
      <c r="E10" s="105"/>
      <c r="F10" s="106"/>
      <c r="G10" s="105"/>
    </row>
    <row r="11" spans="2:7" x14ac:dyDescent="0.2">
      <c r="B11" s="76" t="s">
        <v>157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33" t="s">
        <v>135</v>
      </c>
      <c r="C32" s="134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8" t="s">
        <v>5</v>
      </c>
      <c r="D34" s="138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label1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label2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8" t="s">
        <v>83</v>
      </c>
      <c r="D49" s="138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label1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label2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9" t="s">
        <v>5</v>
      </c>
      <c r="D64" s="139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component1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component2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component3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9" t="s">
        <v>83</v>
      </c>
      <c r="D79" s="139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component1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component2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component3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5" t="s">
        <v>6</v>
      </c>
      <c r="D104" s="136"/>
      <c r="E104" s="135" t="s">
        <v>8</v>
      </c>
      <c r="F104" s="137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10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10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10" x14ac:dyDescent="0.2">
      <c r="B147" s="6"/>
      <c r="C147" s="6"/>
      <c r="D147" s="6"/>
      <c r="E147" s="105"/>
      <c r="F147" s="105"/>
      <c r="G147" s="105"/>
    </row>
    <row r="148" spans="2:10" x14ac:dyDescent="0.2">
      <c r="B148" s="105"/>
      <c r="C148" s="105"/>
      <c r="D148" s="105"/>
      <c r="E148" s="105"/>
      <c r="F148" s="105"/>
      <c r="G148" s="105"/>
    </row>
    <row r="149" spans="2:10" x14ac:dyDescent="0.2">
      <c r="B149" s="105"/>
      <c r="C149" s="105"/>
      <c r="D149" s="105"/>
      <c r="E149" s="105"/>
      <c r="F149" s="105"/>
      <c r="G149" s="105"/>
    </row>
    <row r="150" spans="2:10" x14ac:dyDescent="0.2">
      <c r="B150" s="105"/>
      <c r="C150" s="105"/>
      <c r="D150" s="105"/>
      <c r="E150" s="105"/>
      <c r="F150" s="105"/>
      <c r="G150" s="105"/>
    </row>
    <row r="151" spans="2:10" x14ac:dyDescent="0.2">
      <c r="B151" s="115" t="s">
        <v>162</v>
      </c>
      <c r="C151" s="115" t="s">
        <v>5</v>
      </c>
      <c r="D151" s="105"/>
      <c r="E151" s="105"/>
      <c r="F151" s="105"/>
      <c r="G151" s="105"/>
      <c r="I151" s="115" t="s">
        <v>162</v>
      </c>
      <c r="J151" s="115" t="s">
        <v>140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105"/>
      <c r="E152" s="105"/>
      <c r="F152" s="105"/>
      <c r="G152" s="10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105"/>
      <c r="E153" s="105"/>
      <c r="F153" s="105"/>
      <c r="G153" s="10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105"/>
      <c r="E154" s="105"/>
      <c r="F154" s="105"/>
      <c r="G154" s="10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105"/>
      <c r="E155" s="105"/>
      <c r="F155" s="105"/>
      <c r="G155" s="10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105"/>
      <c r="E156" s="105"/>
      <c r="F156" s="105"/>
      <c r="G156" s="10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105"/>
      <c r="E157" s="105"/>
      <c r="F157" s="105"/>
      <c r="G157" s="10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105"/>
      <c r="E158" s="105"/>
      <c r="F158" s="105"/>
      <c r="G158" s="10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105"/>
      <c r="E159" s="105"/>
      <c r="F159" s="105"/>
      <c r="G159" s="10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105"/>
      <c r="E160" s="105"/>
      <c r="F160" s="105"/>
      <c r="G160" s="10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105"/>
      <c r="E161" s="105"/>
      <c r="F161" s="105"/>
      <c r="G161" s="10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105"/>
      <c r="E162" s="105"/>
      <c r="F162" s="105"/>
      <c r="G162" s="10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105"/>
      <c r="E163" s="105"/>
      <c r="F163" s="105"/>
      <c r="G163" s="10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105"/>
      <c r="E164" s="105"/>
      <c r="F164" s="105"/>
      <c r="G164" s="10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105"/>
      <c r="E165" s="105"/>
      <c r="F165" s="105"/>
      <c r="G165" s="10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105"/>
      <c r="E166" s="105"/>
      <c r="F166" s="105"/>
      <c r="G166" s="10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105"/>
      <c r="E167" s="105"/>
      <c r="F167" s="105"/>
      <c r="G167" s="10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105"/>
      <c r="E168" s="105"/>
      <c r="F168" s="105"/>
      <c r="G168" s="10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105"/>
      <c r="E169" s="105"/>
      <c r="F169" s="105"/>
      <c r="G169" s="10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105"/>
      <c r="E170" s="105"/>
      <c r="F170" s="105"/>
      <c r="G170" s="10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105"/>
      <c r="E171" s="105"/>
      <c r="F171" s="105"/>
      <c r="G171" s="10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105"/>
      <c r="E172" s="105"/>
      <c r="F172" s="105"/>
      <c r="G172" s="10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105"/>
      <c r="E173" s="105"/>
      <c r="F173" s="105"/>
      <c r="G173" s="10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105"/>
      <c r="E174" s="105"/>
      <c r="F174" s="105"/>
      <c r="G174" s="10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105"/>
      <c r="E175" s="105"/>
      <c r="F175" s="105"/>
      <c r="G175" s="10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105"/>
      <c r="E176" s="105"/>
      <c r="F176" s="105"/>
      <c r="G176" s="10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105"/>
      <c r="E177" s="105"/>
      <c r="F177" s="105"/>
      <c r="G177" s="10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105"/>
      <c r="E178" s="105"/>
      <c r="F178" s="105"/>
      <c r="G178" s="10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105"/>
      <c r="E179" s="105"/>
      <c r="F179" s="105"/>
      <c r="G179" s="10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105"/>
      <c r="E180" s="105"/>
      <c r="F180" s="105"/>
      <c r="G180" s="10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105"/>
      <c r="E181" s="105"/>
      <c r="F181" s="105"/>
      <c r="G181" s="10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105"/>
      <c r="E182" s="105"/>
      <c r="F182" s="105"/>
      <c r="G182" s="10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105"/>
      <c r="E183" s="105"/>
      <c r="F183" s="105"/>
      <c r="G183" s="10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105"/>
      <c r="E184" s="105"/>
      <c r="F184" s="105"/>
      <c r="G184" s="10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105"/>
      <c r="E185" s="105"/>
      <c r="F185" s="105"/>
      <c r="G185" s="10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105"/>
      <c r="E186" s="105"/>
      <c r="F186" s="105"/>
      <c r="G186" s="10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105"/>
      <c r="E187" s="105"/>
      <c r="F187" s="105"/>
      <c r="G187" s="10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105"/>
      <c r="E188" s="105"/>
      <c r="F188" s="105"/>
      <c r="G188" s="10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105"/>
      <c r="E189" s="105"/>
      <c r="F189" s="105"/>
      <c r="G189" s="10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105"/>
      <c r="E190" s="105"/>
      <c r="F190" s="105"/>
      <c r="G190" s="10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105"/>
      <c r="E191" s="105"/>
      <c r="F191" s="105"/>
      <c r="G191" s="105"/>
      <c r="I191" s="4" t="e">
        <v>#N/A</v>
      </c>
      <c r="J191" s="4" t="e">
        <v>#N/A</v>
      </c>
    </row>
    <row r="192" spans="2:10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153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label1</v>
      </c>
      <c r="B19" s="53" cm="1">
        <f t="array" ref="B19">IFERROR(INDEX('rawdata | iteration analysis'!$2:$2, E19), 0)</f>
        <v>0</v>
      </c>
      <c r="D19" s="68" t="str">
        <f>_xlfn.CONCAT("labels_", A19,"_",D$15)</f>
        <v>labels_label1_storyPoints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label2</v>
      </c>
      <c r="B20" s="53" cm="1">
        <f t="array" ref="B20">IFERROR(INDEX('rawdata | iteration analysis'!$2:$2, E20), 0)</f>
        <v>0</v>
      </c>
      <c r="D20" s="68" t="str">
        <f>_xlfn.CONCAT("labels_", A20, "_",D$15)</f>
        <v>labels_label2_storyPoints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label1</v>
      </c>
      <c r="B31" s="53" cm="1">
        <f t="array" ref="B31">IFERROR(INDEX('rawdata | iteration analysis'!$2:$2, E31), 0)</f>
        <v>0</v>
      </c>
      <c r="D31" s="68" t="str">
        <f t="shared" si="0"/>
        <v>completedLabels_label1_storyPoints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label2</v>
      </c>
      <c r="B32" s="53" cm="1">
        <f t="array" ref="B32">IFERROR(INDEX('rawdata | iteration analysis'!$2:$2, E32), 0)</f>
        <v>0</v>
      </c>
      <c r="D32" s="68" t="str">
        <f t="shared" si="0"/>
        <v>completedLabels_label2_storyPoints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component1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components_component1_storyPoints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component2</v>
      </c>
      <c r="B42" s="88" cm="1">
        <f t="array" ref="B42">IFERROR(INDEX('rawdata | iteration analysis'!$2:$2, E42), 0)</f>
        <v>0</v>
      </c>
      <c r="D42" s="68" t="str">
        <f t="shared" si="1"/>
        <v>components_component2_storyPoints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component3</v>
      </c>
      <c r="B43" s="88" cm="1">
        <f t="array" ref="B43">IFERROR(INDEX('rawdata | iteration analysis'!$2:$2, E43), 0)</f>
        <v>0</v>
      </c>
      <c r="D43" s="68" t="str">
        <f t="shared" si="1"/>
        <v>components_component3_storyPoints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component1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completedComponents_component1_storyPoints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component2</v>
      </c>
      <c r="B54" s="88" cm="1">
        <f t="array" ref="B54">IFERROR(INDEX('rawdata | iteration analysis'!$2:$2, E54), 0)</f>
        <v>0</v>
      </c>
      <c r="D54" s="68" t="str">
        <f t="shared" si="2"/>
        <v>completedComponents_component2_storyPoints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component3</v>
      </c>
      <c r="B55" s="88" cm="1">
        <f t="array" ref="B55">IFERROR(INDEX('rawdata | iteration analysis'!$2:$2, E55), 0)</f>
        <v>0</v>
      </c>
      <c r="D55" s="68" t="str">
        <f t="shared" si="2"/>
        <v>completedComponents_component3_storyPoints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label1</v>
      </c>
      <c r="B70" s="53" cm="1">
        <f t="array" ref="B70">IFERROR(INDEX('rawdata | iteration analysis'!$2:$2, E70), 0)</f>
        <v>0</v>
      </c>
      <c r="D70" s="68" t="str">
        <f>_xlfn.CONCAT("labels_", A70,"_",D$66)</f>
        <v>labels_label1_count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label2</v>
      </c>
      <c r="B71" s="53" cm="1">
        <f t="array" ref="B71">IFERROR(INDEX('rawdata | iteration analysis'!$2:$2, E71), 0)</f>
        <v>0</v>
      </c>
      <c r="D71" s="68" t="str">
        <f>_xlfn.CONCAT("labels_", A71, "_",D$66)</f>
        <v>labels_label2_count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label1</v>
      </c>
      <c r="B82" s="53" cm="1">
        <f t="array" ref="B82">IFERROR(INDEX('rawdata | iteration analysis'!$2:$2, E82), 0)</f>
        <v>0</v>
      </c>
      <c r="D82" s="68" t="str">
        <f t="shared" si="3"/>
        <v>completedLabels_label1_count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label2</v>
      </c>
      <c r="B83" s="53" cm="1">
        <f t="array" ref="B83">IFERROR(INDEX('rawdata | iteration analysis'!$2:$2, E83), 0)</f>
        <v>0</v>
      </c>
      <c r="D83" s="68" t="str">
        <f t="shared" si="3"/>
        <v>completedLabels_label2_count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component1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components_component1_count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component2</v>
      </c>
      <c r="B93" s="88" cm="1">
        <f t="array" ref="B93">IFERROR(INDEX('rawdata | iteration analysis'!$2:$2, E93), 0)</f>
        <v>0</v>
      </c>
      <c r="D93" s="68" t="str">
        <f t="shared" si="4"/>
        <v>components_component2_count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component3</v>
      </c>
      <c r="B94" s="88" cm="1">
        <f t="array" ref="B94">IFERROR(INDEX('rawdata | iteration analysis'!$2:$2, E94), 0)</f>
        <v>0</v>
      </c>
      <c r="D94" s="68" t="str">
        <f t="shared" si="4"/>
        <v>components_component3_count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component1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completedComponents_component1_count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component2</v>
      </c>
      <c r="B105" s="88" cm="1">
        <f t="array" ref="B105">IFERROR(INDEX('rawdata | iteration analysis'!$2:$2, E105), 0)</f>
        <v>0</v>
      </c>
      <c r="D105" s="68" t="str">
        <f t="shared" si="5"/>
        <v>completedComponents_component2_count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component3</v>
      </c>
      <c r="B106" s="88" cm="1">
        <f t="array" ref="B106">IFERROR(INDEX('rawdata | iteration analysis'!$2:$2, E106), 0)</f>
        <v>0</v>
      </c>
      <c r="D106" s="68" t="str">
        <f t="shared" si="5"/>
        <v>completedComponents_component3_count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6" x14ac:dyDescent="0.2">
      <c r="A161" s="13" t="s">
        <v>65</v>
      </c>
      <c r="B161" s="89"/>
      <c r="D161" s="92" t="s">
        <v>121</v>
      </c>
      <c r="E161" s="92" t="s">
        <v>122</v>
      </c>
    </row>
    <row r="162" spans="1:6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6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6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6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6" x14ac:dyDescent="0.2">
      <c r="A166" s="6"/>
      <c r="B166" s="58"/>
    </row>
    <row r="167" spans="1:6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6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6" x14ac:dyDescent="0.2">
      <c r="D169" s="93"/>
      <c r="E169" s="93"/>
    </row>
    <row r="170" spans="1:6" x14ac:dyDescent="0.2">
      <c r="D170" s="93"/>
      <c r="E170" s="93"/>
    </row>
    <row r="171" spans="1:6" x14ac:dyDescent="0.2">
      <c r="D171" s="93"/>
      <c r="E171" s="93"/>
    </row>
    <row r="172" spans="1:6" ht="26" x14ac:dyDescent="0.2">
      <c r="A172" s="95" t="s">
        <v>158</v>
      </c>
      <c r="B172" s="95"/>
      <c r="C172" s="95"/>
      <c r="D172" s="95"/>
      <c r="E172" s="95"/>
      <c r="F172" s="95"/>
    </row>
    <row r="173" spans="1:6" x14ac:dyDescent="0.2">
      <c r="A173" s="112" t="s">
        <v>159</v>
      </c>
      <c r="B173" s="113" t="s">
        <v>160</v>
      </c>
      <c r="C173" s="113"/>
      <c r="D173" s="112" t="s">
        <v>5</v>
      </c>
      <c r="E173" s="112" t="s">
        <v>161</v>
      </c>
      <c r="F173" s="112"/>
    </row>
    <row r="174" spans="1:6" x14ac:dyDescent="0.2">
      <c r="A174" s="101" t="e" cm="1" vm="2">
        <f t="array" ref="A174">TRANSPOSE(_xlfn._xlws.FILTER('rawdata | iteration analysis'!1:1, ISNUMBER(SEARCH("parent*storyPoints", 'rawdata | iteration analysis'!1:1))))</f>
        <v>#VALUE!</v>
      </c>
      <c r="B174" s="88" t="e" vm="1">
        <f>IF(ISBLANK(A174), NA(), MID(A174, LEN("parents-") + 1, LEN(A174) - LEN("parents-") - LEN("-storyPoints")))</f>
        <v>#VALUE!</v>
      </c>
      <c r="C174" s="88"/>
      <c r="D174" s="114" t="e" vm="1">
        <f>IF(ISBLANK(A174), NA(), INDEX('rawdata | iteration analysis'!$2:$2, 1, MATCH(_xlfn.CONCAT("*",B174,"_storyPoints"), 'rawdata | iteration analysis'!$1:$1, 0)))</f>
        <v>#VALUE!</v>
      </c>
      <c r="E174" s="114" t="e" vm="1">
        <f>IF(ISBLANK(A174), NA(), INDEX('rawdata | iteration analysis'!$2:$2, 1, MATCH(_xlfn.CONCAT("*",B174,"_count"), 'rawdata | iteration analysis'!$1:$1, 0)))</f>
        <v>#VALUE!</v>
      </c>
      <c r="F174" s="101"/>
    </row>
    <row r="175" spans="1:6" x14ac:dyDescent="0.2">
      <c r="A175" s="101"/>
      <c r="B175" s="88" t="e">
        <f t="shared" ref="B175:B213" si="6">IF(ISBLANK(A175), NA(), MID(A175, LEN("parents-") + 1, LEN(A175) - LEN("parents-") - LEN("-storyPoints")))</f>
        <v>#N/A</v>
      </c>
      <c r="C175" s="88"/>
      <c r="D175" s="114" t="e">
        <f>IF(ISBLANK(A175), NA(), INDEX('rawdata | iteration analysis'!$2:$2, 1, MATCH(_xlfn.CONCAT("*",B175,"_storyPoints"), 'rawdata | iteration analysis'!$1:$1, 0)))</f>
        <v>#N/A</v>
      </c>
      <c r="E175" s="114" t="e">
        <f>IF(ISBLANK(A175), NA(), INDEX('rawdata | iteration analysis'!$2:$2, 1, MATCH(_xlfn.CONCAT("*",B175,"_count"), 'rawdata | iteration analysis'!$1:$1, 0)))</f>
        <v>#N/A</v>
      </c>
      <c r="F175" s="101"/>
    </row>
    <row r="176" spans="1:6" x14ac:dyDescent="0.2">
      <c r="A176" s="101"/>
      <c r="B176" s="88" t="e">
        <f t="shared" si="6"/>
        <v>#N/A</v>
      </c>
      <c r="C176" s="88"/>
      <c r="D176" s="114" t="e">
        <f>IF(ISBLANK(A176), NA(), INDEX('rawdata | iteration analysis'!$2:$2, 1, MATCH(_xlfn.CONCAT("*",B176,"_storyPoints"), 'rawdata | iteration analysis'!$1:$1, 0)))</f>
        <v>#N/A</v>
      </c>
      <c r="E176" s="114" t="e">
        <f>IF(ISBLANK(A176), NA(), INDEX('rawdata | iteration analysis'!$2:$2, 1, MATCH(_xlfn.CONCAT("*",B176,"_count"), 'rawdata | iteration analysis'!$1:$1, 0)))</f>
        <v>#N/A</v>
      </c>
      <c r="F176" s="101"/>
    </row>
    <row r="177" spans="1:6" x14ac:dyDescent="0.2">
      <c r="A177" s="101"/>
      <c r="B177" s="88" t="e">
        <f t="shared" si="6"/>
        <v>#N/A</v>
      </c>
      <c r="C177" s="88"/>
      <c r="D177" s="114" t="e">
        <f>IF(ISBLANK(A177), NA(), INDEX('rawdata | iteration analysis'!$2:$2, 1, MATCH(_xlfn.CONCAT("*",B177,"_storyPoints"), 'rawdata | iteration analysis'!$1:$1, 0)))</f>
        <v>#N/A</v>
      </c>
      <c r="E177" s="114" t="e">
        <f>IF(ISBLANK(A177), NA(), INDEX('rawdata | iteration analysis'!$2:$2, 1, MATCH(_xlfn.CONCAT("*",B177,"_count"), 'rawdata | iteration analysis'!$1:$1, 0)))</f>
        <v>#N/A</v>
      </c>
      <c r="F177" s="101"/>
    </row>
    <row r="178" spans="1:6" x14ac:dyDescent="0.2">
      <c r="A178" s="101"/>
      <c r="B178" s="88" t="e">
        <f t="shared" si="6"/>
        <v>#N/A</v>
      </c>
      <c r="C178" s="88"/>
      <c r="D178" s="114" t="e">
        <f>IF(ISBLANK(A178), NA(), INDEX('rawdata | iteration analysis'!$2:$2, 1, MATCH(_xlfn.CONCAT("*",B178,"_storyPoints"), 'rawdata | iteration analysis'!$1:$1, 0)))</f>
        <v>#N/A</v>
      </c>
      <c r="E178" s="114" t="e">
        <f>IF(ISBLANK(A178), NA(), INDEX('rawdata | iteration analysis'!$2:$2, 1, MATCH(_xlfn.CONCAT("*",B178,"_count"), 'rawdata | iteration analysis'!$1:$1, 0)))</f>
        <v>#N/A</v>
      </c>
      <c r="F178" s="101"/>
    </row>
    <row r="179" spans="1:6" x14ac:dyDescent="0.2">
      <c r="A179" s="101"/>
      <c r="B179" s="88" t="e">
        <f t="shared" si="6"/>
        <v>#N/A</v>
      </c>
      <c r="C179" s="88"/>
      <c r="D179" s="114" t="e">
        <f>IF(ISBLANK(A179), NA(), INDEX('rawdata | iteration analysis'!$2:$2, 1, MATCH(_xlfn.CONCAT("*",B179,"_storyPoints"), 'rawdata | iteration analysis'!$1:$1, 0)))</f>
        <v>#N/A</v>
      </c>
      <c r="E179" s="114" t="e">
        <f>IF(ISBLANK(A179), NA(), INDEX('rawdata | iteration analysis'!$2:$2, 1, MATCH(_xlfn.CONCAT("*",B179,"_count"), 'rawdata | iteration analysis'!$1:$1, 0)))</f>
        <v>#N/A</v>
      </c>
      <c r="F179" s="101"/>
    </row>
    <row r="180" spans="1:6" x14ac:dyDescent="0.2">
      <c r="A180" s="101"/>
      <c r="B180" s="88" t="e">
        <f t="shared" si="6"/>
        <v>#N/A</v>
      </c>
      <c r="C180" s="88"/>
      <c r="D180" s="114" t="e">
        <f>IF(ISBLANK(A180), NA(), INDEX('rawdata | iteration analysis'!$2:$2, 1, MATCH(_xlfn.CONCAT("*",B180,"_storyPoints"), 'rawdata | iteration analysis'!$1:$1, 0)))</f>
        <v>#N/A</v>
      </c>
      <c r="E180" s="114" t="e">
        <f>IF(ISBLANK(A180), NA(), INDEX('rawdata | iteration analysis'!$2:$2, 1, MATCH(_xlfn.CONCAT("*",B180,"_count"), 'rawdata | iteration analysis'!$1:$1, 0)))</f>
        <v>#N/A</v>
      </c>
      <c r="F180" s="101"/>
    </row>
    <row r="181" spans="1:6" x14ac:dyDescent="0.2">
      <c r="A181" s="101"/>
      <c r="B181" s="88" t="e">
        <f t="shared" si="6"/>
        <v>#N/A</v>
      </c>
      <c r="C181" s="88"/>
      <c r="D181" s="114" t="e">
        <f>IF(ISBLANK(A181), NA(), INDEX('rawdata | iteration analysis'!$2:$2, 1, MATCH(_xlfn.CONCAT("*",B181,"_storyPoints"), 'rawdata | iteration analysis'!$1:$1, 0)))</f>
        <v>#N/A</v>
      </c>
      <c r="E181" s="114" t="e">
        <f>IF(ISBLANK(A181), NA(), INDEX('rawdata | iteration analysis'!$2:$2, 1, MATCH(_xlfn.CONCAT("*",B181,"_count"), 'rawdata | iteration analysis'!$1:$1, 0)))</f>
        <v>#N/A</v>
      </c>
      <c r="F181" s="101"/>
    </row>
    <row r="182" spans="1:6" x14ac:dyDescent="0.2">
      <c r="A182" s="101"/>
      <c r="B182" s="88" t="e">
        <f t="shared" si="6"/>
        <v>#N/A</v>
      </c>
      <c r="C182" s="88"/>
      <c r="D182" s="114" t="e">
        <f>IF(ISBLANK(A182), NA(), INDEX('rawdata | iteration analysis'!$2:$2, 1, MATCH(_xlfn.CONCAT("*",B182,"_storyPoints"), 'rawdata | iteration analysis'!$1:$1, 0)))</f>
        <v>#N/A</v>
      </c>
      <c r="E182" s="114" t="e">
        <f>IF(ISBLANK(A182), NA(), INDEX('rawdata | iteration analysis'!$2:$2, 1, MATCH(_xlfn.CONCAT("*",B182,"_count"), 'rawdata | iteration analysis'!$1:$1, 0)))</f>
        <v>#N/A</v>
      </c>
      <c r="F182" s="101"/>
    </row>
    <row r="183" spans="1:6" x14ac:dyDescent="0.2">
      <c r="A183" s="101"/>
      <c r="B183" s="88" t="e">
        <f t="shared" si="6"/>
        <v>#N/A</v>
      </c>
      <c r="C183" s="88"/>
      <c r="D183" s="114" t="e">
        <f>IF(ISBLANK(A183), NA(), INDEX('rawdata | iteration analysis'!$2:$2, 1, MATCH(_xlfn.CONCAT("*",B183,"_storyPoints"), 'rawdata | iteration analysis'!$1:$1, 0)))</f>
        <v>#N/A</v>
      </c>
      <c r="E183" s="114" t="e">
        <f>IF(ISBLANK(A183), NA(), INDEX('rawdata | iteration analysis'!$2:$2, 1, MATCH(_xlfn.CONCAT("*",B183,"_count"), 'rawdata | iteration analysis'!$1:$1, 0)))</f>
        <v>#N/A</v>
      </c>
      <c r="F183" s="101"/>
    </row>
    <row r="184" spans="1:6" x14ac:dyDescent="0.2">
      <c r="A184" s="101"/>
      <c r="B184" s="88" t="e">
        <f t="shared" si="6"/>
        <v>#N/A</v>
      </c>
      <c r="C184" s="88"/>
      <c r="D184" s="114" t="e">
        <f>IF(ISBLANK(A184), NA(), INDEX('rawdata | iteration analysis'!$2:$2, 1, MATCH(_xlfn.CONCAT("*",B184,"_storyPoints"), 'rawdata | iteration analysis'!$1:$1, 0)))</f>
        <v>#N/A</v>
      </c>
      <c r="E184" s="114" t="e">
        <f>IF(ISBLANK(A184), NA(), INDEX('rawdata | iteration analysis'!$2:$2, 1, MATCH(_xlfn.CONCAT("*",B184,"_count"), 'rawdata | iteration analysis'!$1:$1, 0)))</f>
        <v>#N/A</v>
      </c>
      <c r="F184" s="101"/>
    </row>
    <row r="185" spans="1:6" x14ac:dyDescent="0.2">
      <c r="A185" s="101"/>
      <c r="B185" s="88" t="e">
        <f t="shared" si="6"/>
        <v>#N/A</v>
      </c>
      <c r="C185" s="88"/>
      <c r="D185" s="114" t="e">
        <f>IF(ISBLANK(A185), NA(), INDEX('rawdata | iteration analysis'!$2:$2, 1, MATCH(_xlfn.CONCAT("*",B185,"_storyPoints"), 'rawdata | iteration analysis'!$1:$1, 0)))</f>
        <v>#N/A</v>
      </c>
      <c r="E185" s="114" t="e">
        <f>IF(ISBLANK(A185), NA(), INDEX('rawdata | iteration analysis'!$2:$2, 1, MATCH(_xlfn.CONCAT("*",B185,"_count"), 'rawdata | iteration analysis'!$1:$1, 0)))</f>
        <v>#N/A</v>
      </c>
      <c r="F185" s="101"/>
    </row>
    <row r="186" spans="1:6" x14ac:dyDescent="0.2">
      <c r="A186" s="101"/>
      <c r="B186" s="88" t="e">
        <f t="shared" si="6"/>
        <v>#N/A</v>
      </c>
      <c r="C186" s="88"/>
      <c r="D186" s="114" t="e">
        <f>IF(ISBLANK(A186), NA(), INDEX('rawdata | iteration analysis'!$2:$2, 1, MATCH(_xlfn.CONCAT("*",B186,"_storyPoints"), 'rawdata | iteration analysis'!$1:$1, 0)))</f>
        <v>#N/A</v>
      </c>
      <c r="E186" s="114" t="e">
        <f>IF(ISBLANK(A186), NA(), INDEX('rawdata | iteration analysis'!$2:$2, 1, MATCH(_xlfn.CONCAT("*",B186,"_count"), 'rawdata | iteration analysis'!$1:$1, 0)))</f>
        <v>#N/A</v>
      </c>
      <c r="F186" s="101"/>
    </row>
    <row r="187" spans="1:6" x14ac:dyDescent="0.2">
      <c r="A187" s="101"/>
      <c r="B187" s="88" t="e">
        <f t="shared" si="6"/>
        <v>#N/A</v>
      </c>
      <c r="C187" s="88"/>
      <c r="D187" s="114" t="e">
        <f>IF(ISBLANK(A187), NA(), INDEX('rawdata | iteration analysis'!$2:$2, 1, MATCH(_xlfn.CONCAT("*",B187,"_storyPoints"), 'rawdata | iteration analysis'!$1:$1, 0)))</f>
        <v>#N/A</v>
      </c>
      <c r="E187" s="114" t="e">
        <f>IF(ISBLANK(A187), NA(), INDEX('rawdata | iteration analysis'!$2:$2, 1, MATCH(_xlfn.CONCAT("*",B187,"_count"), 'rawdata | iteration analysis'!$1:$1, 0)))</f>
        <v>#N/A</v>
      </c>
      <c r="F187" s="101"/>
    </row>
    <row r="188" spans="1:6" x14ac:dyDescent="0.2">
      <c r="A188" s="101"/>
      <c r="B188" s="88" t="e">
        <f t="shared" si="6"/>
        <v>#N/A</v>
      </c>
      <c r="C188" s="88"/>
      <c r="D188" s="114" t="e">
        <f>IF(ISBLANK(A188), NA(), INDEX('rawdata | iteration analysis'!$2:$2, 1, MATCH(_xlfn.CONCAT("*",B188,"_storyPoints"), 'rawdata | iteration analysis'!$1:$1, 0)))</f>
        <v>#N/A</v>
      </c>
      <c r="E188" s="114" t="e">
        <f>IF(ISBLANK(A188), NA(), INDEX('rawdata | iteration analysis'!$2:$2, 1, MATCH(_xlfn.CONCAT("*",B188,"_count"), 'rawdata | iteration analysis'!$1:$1, 0)))</f>
        <v>#N/A</v>
      </c>
      <c r="F188" s="101"/>
    </row>
    <row r="189" spans="1:6" x14ac:dyDescent="0.2">
      <c r="A189" s="101"/>
      <c r="B189" s="88" t="e">
        <f t="shared" si="6"/>
        <v>#N/A</v>
      </c>
      <c r="C189" s="88"/>
      <c r="D189" s="114" t="e">
        <f>IF(ISBLANK(A189), NA(), INDEX('rawdata | iteration analysis'!$2:$2, 1, MATCH(_xlfn.CONCAT("*",B189,"_storyPoints"), 'rawdata | iteration analysis'!$1:$1, 0)))</f>
        <v>#N/A</v>
      </c>
      <c r="E189" s="114" t="e">
        <f>IF(ISBLANK(A189), NA(), INDEX('rawdata | iteration analysis'!$2:$2, 1, MATCH(_xlfn.CONCAT("*",B189,"_count"), 'rawdata | iteration analysis'!$1:$1, 0)))</f>
        <v>#N/A</v>
      </c>
      <c r="F189" s="101"/>
    </row>
    <row r="190" spans="1:6" x14ac:dyDescent="0.2">
      <c r="A190" s="101"/>
      <c r="B190" s="88" t="e">
        <f t="shared" si="6"/>
        <v>#N/A</v>
      </c>
      <c r="C190" s="88"/>
      <c r="D190" s="114" t="e">
        <f>IF(ISBLANK(A190), NA(), INDEX('rawdata | iteration analysis'!$2:$2, 1, MATCH(_xlfn.CONCAT("*",B190,"_storyPoints"), 'rawdata | iteration analysis'!$1:$1, 0)))</f>
        <v>#N/A</v>
      </c>
      <c r="E190" s="114" t="e">
        <f>IF(ISBLANK(A190), NA(), INDEX('rawdata | iteration analysis'!$2:$2, 1, MATCH(_xlfn.CONCAT("*",B190,"_count"), 'rawdata | iteration analysis'!$1:$1, 0)))</f>
        <v>#N/A</v>
      </c>
      <c r="F190" s="101"/>
    </row>
    <row r="191" spans="1:6" x14ac:dyDescent="0.2">
      <c r="A191" s="101"/>
      <c r="B191" s="88" t="e">
        <f t="shared" si="6"/>
        <v>#N/A</v>
      </c>
      <c r="C191" s="88"/>
      <c r="D191" s="114" t="e">
        <f>IF(ISBLANK(A191), NA(), INDEX('rawdata | iteration analysis'!$2:$2, 1, MATCH(_xlfn.CONCAT("*",B191,"_storyPoints"), 'rawdata | iteration analysis'!$1:$1, 0)))</f>
        <v>#N/A</v>
      </c>
      <c r="E191" s="114" t="e">
        <f>IF(ISBLANK(A191), NA(), INDEX('rawdata | iteration analysis'!$2:$2, 1, MATCH(_xlfn.CONCAT("*",B191,"_count"), 'rawdata | iteration analysis'!$1:$1, 0)))</f>
        <v>#N/A</v>
      </c>
      <c r="F191" s="101"/>
    </row>
    <row r="192" spans="1:6" x14ac:dyDescent="0.2">
      <c r="A192" s="101"/>
      <c r="B192" s="88" t="e">
        <f t="shared" si="6"/>
        <v>#N/A</v>
      </c>
      <c r="C192" s="88"/>
      <c r="D192" s="114" t="e">
        <f>IF(ISBLANK(A192), NA(), INDEX('rawdata | iteration analysis'!$2:$2, 1, MATCH(_xlfn.CONCAT("*",B192,"_storyPoints"), 'rawdata | iteration analysis'!$1:$1, 0)))</f>
        <v>#N/A</v>
      </c>
      <c r="E192" s="114" t="e">
        <f>IF(ISBLANK(A192), NA(), INDEX('rawdata | iteration analysis'!$2:$2, 1, MATCH(_xlfn.CONCAT("*",B192,"_count"), 'rawdata | iteration analysis'!$1:$1, 0)))</f>
        <v>#N/A</v>
      </c>
      <c r="F192" s="101"/>
    </row>
    <row r="193" spans="1:6" x14ac:dyDescent="0.2">
      <c r="A193" s="101"/>
      <c r="B193" s="88" t="e">
        <f t="shared" si="6"/>
        <v>#N/A</v>
      </c>
      <c r="C193" s="88"/>
      <c r="D193" s="114" t="e">
        <f>IF(ISBLANK(A193), NA(), INDEX('rawdata | iteration analysis'!$2:$2, 1, MATCH(_xlfn.CONCAT("*",B193,"_storyPoints"), 'rawdata | iteration analysis'!$1:$1, 0)))</f>
        <v>#N/A</v>
      </c>
      <c r="E193" s="114" t="e">
        <f>IF(ISBLANK(A193), NA(), INDEX('rawdata | iteration analysis'!$2:$2, 1, MATCH(_xlfn.CONCAT("*",B193,"_count"), 'rawdata | iteration analysis'!$1:$1, 0)))</f>
        <v>#N/A</v>
      </c>
      <c r="F193" s="101"/>
    </row>
    <row r="194" spans="1:6" x14ac:dyDescent="0.2">
      <c r="A194" s="101"/>
      <c r="B194" s="88" t="e">
        <f t="shared" si="6"/>
        <v>#N/A</v>
      </c>
      <c r="C194" s="88"/>
      <c r="D194" s="114" t="e">
        <f>IF(ISBLANK(A194), NA(), INDEX('rawdata | iteration analysis'!$2:$2, 1, MATCH(_xlfn.CONCAT("*",B194,"_storyPoints"), 'rawdata | iteration analysis'!$1:$1, 0)))</f>
        <v>#N/A</v>
      </c>
      <c r="E194" s="114" t="e">
        <f>IF(ISBLANK(A194), NA(), INDEX('rawdata | iteration analysis'!$2:$2, 1, MATCH(_xlfn.CONCAT("*",B194,"_count"), 'rawdata | iteration analysis'!$1:$1, 0)))</f>
        <v>#N/A</v>
      </c>
      <c r="F194" s="101"/>
    </row>
    <row r="195" spans="1:6" x14ac:dyDescent="0.2">
      <c r="A195" s="101"/>
      <c r="B195" s="88" t="e">
        <f t="shared" si="6"/>
        <v>#N/A</v>
      </c>
      <c r="C195" s="88"/>
      <c r="D195" s="114" t="e">
        <f>IF(ISBLANK(A195), NA(), INDEX('rawdata | iteration analysis'!$2:$2, 1, MATCH(_xlfn.CONCAT("*",B195,"_storyPoints"), 'rawdata | iteration analysis'!$1:$1, 0)))</f>
        <v>#N/A</v>
      </c>
      <c r="E195" s="114" t="e">
        <f>IF(ISBLANK(A195), NA(), INDEX('rawdata | iteration analysis'!$2:$2, 1, MATCH(_xlfn.CONCAT("*",B195,"_count"), 'rawdata | iteration analysis'!$1:$1, 0)))</f>
        <v>#N/A</v>
      </c>
      <c r="F195" s="101"/>
    </row>
    <row r="196" spans="1:6" x14ac:dyDescent="0.2">
      <c r="A196" s="101"/>
      <c r="B196" s="88" t="e">
        <f t="shared" si="6"/>
        <v>#N/A</v>
      </c>
      <c r="C196" s="88"/>
      <c r="D196" s="114" t="e">
        <f>IF(ISBLANK(A196), NA(), INDEX('rawdata | iteration analysis'!$2:$2, 1, MATCH(_xlfn.CONCAT("*",B196,"_storyPoints"), 'rawdata | iteration analysis'!$1:$1, 0)))</f>
        <v>#N/A</v>
      </c>
      <c r="E196" s="114" t="e">
        <f>IF(ISBLANK(A196), NA(), INDEX('rawdata | iteration analysis'!$2:$2, 1, MATCH(_xlfn.CONCAT("*",B196,"_count"), 'rawdata | iteration analysis'!$1:$1, 0)))</f>
        <v>#N/A</v>
      </c>
      <c r="F196" s="101"/>
    </row>
    <row r="197" spans="1:6" x14ac:dyDescent="0.2">
      <c r="A197" s="101"/>
      <c r="B197" s="88" t="e">
        <f t="shared" si="6"/>
        <v>#N/A</v>
      </c>
      <c r="C197" s="88"/>
      <c r="D197" s="114" t="e">
        <f>IF(ISBLANK(A197), NA(), INDEX('rawdata | iteration analysis'!$2:$2, 1, MATCH(_xlfn.CONCAT("*",B197,"_storyPoints"), 'rawdata | iteration analysis'!$1:$1, 0)))</f>
        <v>#N/A</v>
      </c>
      <c r="E197" s="114" t="e">
        <f>IF(ISBLANK(A197), NA(), INDEX('rawdata | iteration analysis'!$2:$2, 1, MATCH(_xlfn.CONCAT("*",B197,"_count"), 'rawdata | iteration analysis'!$1:$1, 0)))</f>
        <v>#N/A</v>
      </c>
      <c r="F197" s="101"/>
    </row>
    <row r="198" spans="1:6" x14ac:dyDescent="0.2">
      <c r="A198" s="101"/>
      <c r="B198" s="88" t="e">
        <f t="shared" si="6"/>
        <v>#N/A</v>
      </c>
      <c r="C198" s="88"/>
      <c r="D198" s="114" t="e">
        <f>IF(ISBLANK(A198), NA(), INDEX('rawdata | iteration analysis'!$2:$2, 1, MATCH(_xlfn.CONCAT("*",B198,"_storyPoints"), 'rawdata | iteration analysis'!$1:$1, 0)))</f>
        <v>#N/A</v>
      </c>
      <c r="E198" s="114" t="e">
        <f>IF(ISBLANK(A198), NA(), INDEX('rawdata | iteration analysis'!$2:$2, 1, MATCH(_xlfn.CONCAT("*",B198,"_count"), 'rawdata | iteration analysis'!$1:$1, 0)))</f>
        <v>#N/A</v>
      </c>
      <c r="F198" s="101"/>
    </row>
    <row r="199" spans="1:6" x14ac:dyDescent="0.2">
      <c r="A199" s="101"/>
      <c r="B199" s="88" t="e">
        <f t="shared" si="6"/>
        <v>#N/A</v>
      </c>
      <c r="C199" s="88"/>
      <c r="D199" s="114" t="e">
        <f>IF(ISBLANK(A199), NA(), INDEX('rawdata | iteration analysis'!$2:$2, 1, MATCH(_xlfn.CONCAT("*",B199,"_storyPoints"), 'rawdata | iteration analysis'!$1:$1, 0)))</f>
        <v>#N/A</v>
      </c>
      <c r="E199" s="114" t="e">
        <f>IF(ISBLANK(A199), NA(), INDEX('rawdata | iteration analysis'!$2:$2, 1, MATCH(_xlfn.CONCAT("*",B199,"_count"), 'rawdata | iteration analysis'!$1:$1, 0)))</f>
        <v>#N/A</v>
      </c>
      <c r="F199" s="101"/>
    </row>
    <row r="200" spans="1:6" x14ac:dyDescent="0.2">
      <c r="A200" s="101"/>
      <c r="B200" s="88" t="e">
        <f t="shared" si="6"/>
        <v>#N/A</v>
      </c>
      <c r="C200" s="88"/>
      <c r="D200" s="114" t="e">
        <f>IF(ISBLANK(A200), NA(), INDEX('rawdata | iteration analysis'!$2:$2, 1, MATCH(_xlfn.CONCAT("*",B200,"_storyPoints"), 'rawdata | iteration analysis'!$1:$1, 0)))</f>
        <v>#N/A</v>
      </c>
      <c r="E200" s="114" t="e">
        <f>IF(ISBLANK(A200), NA(), INDEX('rawdata | iteration analysis'!$2:$2, 1, MATCH(_xlfn.CONCAT("*",B200,"_count"), 'rawdata | iteration analysis'!$1:$1, 0)))</f>
        <v>#N/A</v>
      </c>
      <c r="F200" s="101"/>
    </row>
    <row r="201" spans="1:6" x14ac:dyDescent="0.2">
      <c r="A201" s="101"/>
      <c r="B201" s="88" t="e">
        <f t="shared" si="6"/>
        <v>#N/A</v>
      </c>
      <c r="C201" s="88"/>
      <c r="D201" s="114" t="e">
        <f>IF(ISBLANK(A201), NA(), INDEX('rawdata | iteration analysis'!$2:$2, 1, MATCH(_xlfn.CONCAT("*",B201,"_storyPoints"), 'rawdata | iteration analysis'!$1:$1, 0)))</f>
        <v>#N/A</v>
      </c>
      <c r="E201" s="114" t="e">
        <f>IF(ISBLANK(A201), NA(), INDEX('rawdata | iteration analysis'!$2:$2, 1, MATCH(_xlfn.CONCAT("*",B201,"_count"), 'rawdata | iteration analysis'!$1:$1, 0)))</f>
        <v>#N/A</v>
      </c>
      <c r="F201" s="101"/>
    </row>
    <row r="202" spans="1:6" x14ac:dyDescent="0.2">
      <c r="A202" s="101"/>
      <c r="B202" s="88" t="e">
        <f t="shared" si="6"/>
        <v>#N/A</v>
      </c>
      <c r="C202" s="88"/>
      <c r="D202" s="114" t="e">
        <f>IF(ISBLANK(A202), NA(), INDEX('rawdata | iteration analysis'!$2:$2, 1, MATCH(_xlfn.CONCAT("*",B202,"_storyPoints"), 'rawdata | iteration analysis'!$1:$1, 0)))</f>
        <v>#N/A</v>
      </c>
      <c r="E202" s="114" t="e">
        <f>IF(ISBLANK(A202), NA(), INDEX('rawdata | iteration analysis'!$2:$2, 1, MATCH(_xlfn.CONCAT("*",B202,"_count"), 'rawdata | iteration analysis'!$1:$1, 0)))</f>
        <v>#N/A</v>
      </c>
      <c r="F202" s="101"/>
    </row>
    <row r="203" spans="1:6" x14ac:dyDescent="0.2">
      <c r="A203" s="101"/>
      <c r="B203" s="88" t="e">
        <f t="shared" si="6"/>
        <v>#N/A</v>
      </c>
      <c r="C203" s="88"/>
      <c r="D203" s="114" t="e">
        <f>IF(ISBLANK(A203), NA(), INDEX('rawdata | iteration analysis'!$2:$2, 1, MATCH(_xlfn.CONCAT("*",B203,"_storyPoints"), 'rawdata | iteration analysis'!$1:$1, 0)))</f>
        <v>#N/A</v>
      </c>
      <c r="E203" s="114" t="e">
        <f>IF(ISBLANK(A203), NA(), INDEX('rawdata | iteration analysis'!$2:$2, 1, MATCH(_xlfn.CONCAT("*",B203,"_count"), 'rawdata | iteration analysis'!$1:$1, 0)))</f>
        <v>#N/A</v>
      </c>
      <c r="F203" s="101"/>
    </row>
    <row r="204" spans="1:6" x14ac:dyDescent="0.2">
      <c r="A204" s="101"/>
      <c r="B204" s="88" t="e">
        <f t="shared" si="6"/>
        <v>#N/A</v>
      </c>
      <c r="C204" s="88"/>
      <c r="D204" s="114" t="e">
        <f>IF(ISBLANK(A204), NA(), INDEX('rawdata | iteration analysis'!$2:$2, 1, MATCH(_xlfn.CONCAT("*",B204,"_storyPoints"), 'rawdata | iteration analysis'!$1:$1, 0)))</f>
        <v>#N/A</v>
      </c>
      <c r="E204" s="114" t="e">
        <f>IF(ISBLANK(A204), NA(), INDEX('rawdata | iteration analysis'!$2:$2, 1, MATCH(_xlfn.CONCAT("*",B204,"_count"), 'rawdata | iteration analysis'!$1:$1, 0)))</f>
        <v>#N/A</v>
      </c>
      <c r="F204" s="101"/>
    </row>
    <row r="205" spans="1:6" x14ac:dyDescent="0.2">
      <c r="A205" s="101"/>
      <c r="B205" s="88" t="e">
        <f t="shared" si="6"/>
        <v>#N/A</v>
      </c>
      <c r="C205" s="88"/>
      <c r="D205" s="114" t="e">
        <f>IF(ISBLANK(A205), NA(), INDEX('rawdata | iteration analysis'!$2:$2, 1, MATCH(_xlfn.CONCAT("*",B205,"_storyPoints"), 'rawdata | iteration analysis'!$1:$1, 0)))</f>
        <v>#N/A</v>
      </c>
      <c r="E205" s="114" t="e">
        <f>IF(ISBLANK(A205), NA(), INDEX('rawdata | iteration analysis'!$2:$2, 1, MATCH(_xlfn.CONCAT("*",B205,"_count"), 'rawdata | iteration analysis'!$1:$1, 0)))</f>
        <v>#N/A</v>
      </c>
      <c r="F205" s="101"/>
    </row>
    <row r="206" spans="1:6" x14ac:dyDescent="0.2">
      <c r="A206" s="101"/>
      <c r="B206" s="88" t="e">
        <f t="shared" si="6"/>
        <v>#N/A</v>
      </c>
      <c r="C206" s="88"/>
      <c r="D206" s="114" t="e">
        <f>IF(ISBLANK(A206), NA(), INDEX('rawdata | iteration analysis'!$2:$2, 1, MATCH(_xlfn.CONCAT("*",B206,"_storyPoints"), 'rawdata | iteration analysis'!$1:$1, 0)))</f>
        <v>#N/A</v>
      </c>
      <c r="E206" s="114" t="e">
        <f>IF(ISBLANK(A206), NA(), INDEX('rawdata | iteration analysis'!$2:$2, 1, MATCH(_xlfn.CONCAT("*",B206,"_count"), 'rawdata | iteration analysis'!$1:$1, 0)))</f>
        <v>#N/A</v>
      </c>
      <c r="F206" s="101"/>
    </row>
    <row r="207" spans="1:6" x14ac:dyDescent="0.2">
      <c r="A207" s="101"/>
      <c r="B207" s="88" t="e">
        <f t="shared" si="6"/>
        <v>#N/A</v>
      </c>
      <c r="C207" s="88"/>
      <c r="D207" s="114" t="e">
        <f>IF(ISBLANK(A207), NA(), INDEX('rawdata | iteration analysis'!$2:$2, 1, MATCH(_xlfn.CONCAT("*",B207,"_storyPoints"), 'rawdata | iteration analysis'!$1:$1, 0)))</f>
        <v>#N/A</v>
      </c>
      <c r="E207" s="114" t="e">
        <f>IF(ISBLANK(A207), NA(), INDEX('rawdata | iteration analysis'!$2:$2, 1, MATCH(_xlfn.CONCAT("*",B207,"_count"), 'rawdata | iteration analysis'!$1:$1, 0)))</f>
        <v>#N/A</v>
      </c>
      <c r="F207" s="101"/>
    </row>
    <row r="208" spans="1:6" x14ac:dyDescent="0.2">
      <c r="A208" s="101"/>
      <c r="B208" s="88" t="e">
        <f t="shared" si="6"/>
        <v>#N/A</v>
      </c>
      <c r="C208" s="88"/>
      <c r="D208" s="114" t="e">
        <f>IF(ISBLANK(A208), NA(), INDEX('rawdata | iteration analysis'!$2:$2, 1, MATCH(_xlfn.CONCAT("*",B208,"_storyPoints"), 'rawdata | iteration analysis'!$1:$1, 0)))</f>
        <v>#N/A</v>
      </c>
      <c r="E208" s="114" t="e">
        <f>IF(ISBLANK(A208), NA(), INDEX('rawdata | iteration analysis'!$2:$2, 1, MATCH(_xlfn.CONCAT("*",B208,"_count"), 'rawdata | iteration analysis'!$1:$1, 0)))</f>
        <v>#N/A</v>
      </c>
      <c r="F208" s="101"/>
    </row>
    <row r="209" spans="1:6" x14ac:dyDescent="0.2">
      <c r="A209" s="101"/>
      <c r="B209" s="88" t="e">
        <f t="shared" si="6"/>
        <v>#N/A</v>
      </c>
      <c r="C209" s="88"/>
      <c r="D209" s="114" t="e">
        <f>IF(ISBLANK(A209), NA(), INDEX('rawdata | iteration analysis'!$2:$2, 1, MATCH(_xlfn.CONCAT("*",B209,"_storyPoints"), 'rawdata | iteration analysis'!$1:$1, 0)))</f>
        <v>#N/A</v>
      </c>
      <c r="E209" s="114" t="e">
        <f>IF(ISBLANK(A209), NA(), INDEX('rawdata | iteration analysis'!$2:$2, 1, MATCH(_xlfn.CONCAT("*",B209,"_count"), 'rawdata | iteration analysis'!$1:$1, 0)))</f>
        <v>#N/A</v>
      </c>
      <c r="F209" s="101"/>
    </row>
    <row r="210" spans="1:6" x14ac:dyDescent="0.2">
      <c r="A210" s="101"/>
      <c r="B210" s="88" t="e">
        <f t="shared" si="6"/>
        <v>#N/A</v>
      </c>
      <c r="C210" s="88"/>
      <c r="D210" s="114" t="e">
        <f>IF(ISBLANK(A210), NA(), INDEX('rawdata | iteration analysis'!$2:$2, 1, MATCH(_xlfn.CONCAT("*",B210,"_storyPoints"), 'rawdata | iteration analysis'!$1:$1, 0)))</f>
        <v>#N/A</v>
      </c>
      <c r="E210" s="114" t="e">
        <f>IF(ISBLANK(A210), NA(), INDEX('rawdata | iteration analysis'!$2:$2, 1, MATCH(_xlfn.CONCAT("*",B210,"_count"), 'rawdata | iteration analysis'!$1:$1, 0)))</f>
        <v>#N/A</v>
      </c>
      <c r="F210" s="101"/>
    </row>
    <row r="211" spans="1:6" x14ac:dyDescent="0.2">
      <c r="A211" s="101"/>
      <c r="B211" s="88" t="e">
        <f t="shared" si="6"/>
        <v>#N/A</v>
      </c>
      <c r="C211" s="88"/>
      <c r="D211" s="114" t="e">
        <f>IF(ISBLANK(A211), NA(), INDEX('rawdata | iteration analysis'!$2:$2, 1, MATCH(_xlfn.CONCAT("*",B211,"_storyPoints"), 'rawdata | iteration analysis'!$1:$1, 0)))</f>
        <v>#N/A</v>
      </c>
      <c r="E211" s="114" t="e">
        <f>IF(ISBLANK(A211), NA(), INDEX('rawdata | iteration analysis'!$2:$2, 1, MATCH(_xlfn.CONCAT("*",B211,"_count"), 'rawdata | iteration analysis'!$1:$1, 0)))</f>
        <v>#N/A</v>
      </c>
      <c r="F211" s="101"/>
    </row>
    <row r="212" spans="1:6" x14ac:dyDescent="0.2">
      <c r="A212" s="101"/>
      <c r="B212" s="88" t="e">
        <f t="shared" si="6"/>
        <v>#N/A</v>
      </c>
      <c r="C212" s="88"/>
      <c r="D212" s="114" t="e">
        <f>IF(ISBLANK(A212), NA(), INDEX('rawdata | iteration analysis'!$2:$2, 1, MATCH(_xlfn.CONCAT("*",B212,"_storyPoints"), 'rawdata | iteration analysis'!$1:$1, 0)))</f>
        <v>#N/A</v>
      </c>
      <c r="E212" s="114" t="e">
        <f>IF(ISBLANK(A212), NA(), INDEX('rawdata | iteration analysis'!$2:$2, 1, MATCH(_xlfn.CONCAT("*",B212,"_count"), 'rawdata | iteration analysis'!$1:$1, 0)))</f>
        <v>#N/A</v>
      </c>
      <c r="F212" s="101"/>
    </row>
    <row r="213" spans="1:6" x14ac:dyDescent="0.2">
      <c r="A213" s="101"/>
      <c r="B213" s="88" t="e">
        <f t="shared" si="6"/>
        <v>#N/A</v>
      </c>
      <c r="C213" s="88"/>
      <c r="D213" s="114" t="e">
        <f>IF(ISBLANK(A213), NA(), INDEX('rawdata | iteration analysis'!$2:$2, 1, MATCH(_xlfn.CONCAT("*",B213,"_storyPoints"), 'rawdata | iteration analysis'!$1:$1, 0)))</f>
        <v>#N/A</v>
      </c>
      <c r="E213" s="114" t="e">
        <f>IF(ISBLANK(A213), NA(), INDEX('rawdata | iteration analysis'!$2:$2, 1, MATCH(_xlfn.CONCAT("*",B213,"_count"), 'rawdata | iteration analysis'!$1:$1, 0)))</f>
        <v>#N/A</v>
      </c>
      <c r="F213" s="101"/>
    </row>
    <row r="214" spans="1:6" x14ac:dyDescent="0.2">
      <c r="D214" s="93"/>
      <c r="E214" s="93"/>
    </row>
    <row r="215" spans="1:6" x14ac:dyDescent="0.2">
      <c r="D215" s="93"/>
      <c r="E215" s="93"/>
    </row>
    <row r="216" spans="1:6" x14ac:dyDescent="0.2">
      <c r="D216" s="93"/>
      <c r="E216" s="93"/>
    </row>
    <row r="217" spans="1:6" x14ac:dyDescent="0.2">
      <c r="D217" s="93"/>
      <c r="E217" s="93"/>
    </row>
    <row r="218" spans="1:6" x14ac:dyDescent="0.2">
      <c r="D218" s="93"/>
      <c r="E218" s="93"/>
    </row>
    <row r="219" spans="1:6" x14ac:dyDescent="0.2">
      <c r="D219" s="93"/>
      <c r="E219" s="93"/>
    </row>
    <row r="220" spans="1:6" x14ac:dyDescent="0.2">
      <c r="D220" s="93"/>
      <c r="E220" s="93"/>
    </row>
    <row r="221" spans="1:6" x14ac:dyDescent="0.2">
      <c r="D221" s="93"/>
      <c r="E221" s="93"/>
    </row>
    <row r="222" spans="1:6" x14ac:dyDescent="0.2">
      <c r="D222" s="93"/>
      <c r="E222" s="93"/>
    </row>
    <row r="223" spans="1:6" x14ac:dyDescent="0.2">
      <c r="D223" s="93"/>
      <c r="E223" s="93"/>
    </row>
    <row r="224" spans="1:6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N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1" spans="1:144" x14ac:dyDescent="0.2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  <c r="CI1" s="110"/>
      <c r="CJ1" s="110"/>
      <c r="CK1" s="110"/>
      <c r="CL1" s="110"/>
      <c r="CM1" s="110"/>
      <c r="CN1" s="110"/>
      <c r="CO1" s="110"/>
      <c r="CP1" s="110"/>
      <c r="CQ1" s="110"/>
      <c r="CR1" s="110"/>
      <c r="CS1" s="110"/>
      <c r="CT1" s="110"/>
      <c r="CU1" s="110"/>
      <c r="CV1" s="110"/>
      <c r="CW1" s="110"/>
      <c r="CX1" s="110"/>
      <c r="CY1" s="110"/>
      <c r="CZ1" s="110"/>
      <c r="DA1" s="110"/>
      <c r="DB1" s="110"/>
      <c r="DC1" s="110"/>
      <c r="DD1" s="110"/>
      <c r="DE1" s="110"/>
      <c r="DF1" s="110"/>
      <c r="DG1" s="110"/>
      <c r="DH1" s="110"/>
      <c r="DI1" s="110"/>
      <c r="DJ1" s="110"/>
      <c r="DK1" s="110"/>
      <c r="DL1" s="110"/>
      <c r="DM1" s="110"/>
      <c r="DN1" s="110"/>
      <c r="DO1" s="110"/>
      <c r="DP1" s="110"/>
      <c r="DQ1" s="110"/>
      <c r="DR1" s="110"/>
      <c r="DS1" s="110"/>
      <c r="DT1" s="110"/>
      <c r="DU1" s="110"/>
      <c r="DV1" s="110"/>
      <c r="DW1" s="110"/>
      <c r="DX1" s="110"/>
      <c r="DY1" s="110"/>
      <c r="DZ1" s="110"/>
      <c r="EA1" s="110"/>
      <c r="EB1" s="110"/>
      <c r="EC1" s="110"/>
      <c r="ED1" s="110"/>
      <c r="EE1" s="110"/>
      <c r="EF1" s="110"/>
      <c r="EG1" s="110"/>
      <c r="EH1" s="110"/>
      <c r="EI1" s="110"/>
      <c r="EJ1" s="110"/>
      <c r="EK1" s="110"/>
      <c r="EL1" s="110"/>
      <c r="EM1" s="110"/>
      <c r="EN1" s="110"/>
    </row>
    <row r="2" spans="1:144" x14ac:dyDescent="0.2">
      <c r="A2" s="110"/>
      <c r="B2" s="111"/>
      <c r="C2" s="140"/>
      <c r="D2" s="140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Summary (basics) </vt:lpstr>
      <vt:lpstr>Sprint Summary (metadata)</vt:lpstr>
      <vt:lpstr>Sprint Summary (parents)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2024-09-10T01:51:14Z</dcterms:modified>
</cp:coreProperties>
</file>