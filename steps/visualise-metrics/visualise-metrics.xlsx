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christracey/Desktop/sprint metrics/sprint metrics v0.30.1/"/>
    </mc:Choice>
  </mc:AlternateContent>
  <xr:revisionPtr revIDLastSave="0" documentId="13_ncr:1_{18A3D12B-5C36-2C44-BDBD-38EA4C2AD580}" xr6:coauthVersionLast="47" xr6:coauthVersionMax="47" xr10:uidLastSave="{00000000-0000-0000-0000-000000000000}"/>
  <bookViews>
    <workbookView xWindow="0" yWindow="0" windowWidth="28800" windowHeight="18000" tabRatio="783" activeTab="3" xr2:uid="{00000000-000D-0000-FFFF-FFFF00000000}"/>
  </bookViews>
  <sheets>
    <sheet name="Sprint Summary" sheetId="20" r:id="rId1"/>
    <sheet name="Sprint Summary | data" sheetId="19" r:id="rId2"/>
    <sheet name="Calculated Stats" sheetId="30" r:id="rId3"/>
    <sheet name="processed | data" sheetId="29" r:id="rId4"/>
    <sheet name="rawdata | iteration analysis" sheetId="28" r:id="rId5"/>
    <sheet name="REF | sample of csv field names" sheetId="31" r:id="rId6"/>
  </sheets>
  <externalReferences>
    <externalReference r:id="rId7"/>
  </externalReferences>
  <definedNames>
    <definedName name="JiraExportFileLocation">#REF!</definedName>
    <definedName name="RAW_labels">OFFSET(INDEX('[1]raw export'!$1000:$1000, 2, [1]data!XFD$2), 0, 0, 1, 5)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9" l="1"/>
  <c r="B30" i="19"/>
  <c r="A29" i="19"/>
  <c r="I75" i="19"/>
  <c r="I74" i="19"/>
  <c r="E151" i="29"/>
  <c r="B151" i="29" s="1" a="1"/>
  <c r="B151" i="29" s="1"/>
  <c r="C124" i="30" s="1"/>
  <c r="J60" i="19" s="1"/>
  <c r="E7" i="29"/>
  <c r="B7" i="29" s="1" a="1"/>
  <c r="B7" i="29" s="1"/>
  <c r="C22" i="30" s="1"/>
  <c r="E8" i="29"/>
  <c r="B8" i="29" s="1" a="1"/>
  <c r="B8" i="29" s="1"/>
  <c r="C23" i="30" s="1"/>
  <c r="E9" i="29"/>
  <c r="B9" i="29" s="1" a="1"/>
  <c r="B9" i="29" s="1"/>
  <c r="C24" i="30" s="1"/>
  <c r="E6" i="29"/>
  <c r="B6" i="29" s="1" a="1"/>
  <c r="B6" i="29" s="1"/>
  <c r="D36" i="30"/>
  <c r="C44" i="30"/>
  <c r="C45" i="30"/>
  <c r="A105" i="29"/>
  <c r="D105" i="29" s="1"/>
  <c r="E105" i="29" s="1"/>
  <c r="B105" i="29" s="1" a="1"/>
  <c r="B105" i="29" s="1"/>
  <c r="D82" i="30" s="1"/>
  <c r="A106" i="29"/>
  <c r="D106" i="29" s="1"/>
  <c r="E106" i="29" s="1"/>
  <c r="B106" i="29" s="1" a="1"/>
  <c r="B106" i="29" s="1"/>
  <c r="D83" i="30" s="1"/>
  <c r="A107" i="29"/>
  <c r="D107" i="29" s="1"/>
  <c r="A108" i="29"/>
  <c r="D108" i="29" s="1"/>
  <c r="A109" i="29"/>
  <c r="D109" i="29" s="1"/>
  <c r="A110" i="29"/>
  <c r="D110" i="29" s="1"/>
  <c r="E110" i="29" s="1"/>
  <c r="B110" i="29" s="1" a="1"/>
  <c r="B110" i="29" s="1"/>
  <c r="D87" i="30" s="1"/>
  <c r="A111" i="29"/>
  <c r="D111" i="29" s="1"/>
  <c r="A112" i="29"/>
  <c r="D112" i="29" s="1"/>
  <c r="A113" i="29"/>
  <c r="D113" i="29" s="1"/>
  <c r="A93" i="29"/>
  <c r="D93" i="29" s="1"/>
  <c r="A94" i="29"/>
  <c r="D94" i="29" s="1"/>
  <c r="A95" i="29"/>
  <c r="D95" i="29" s="1"/>
  <c r="E95" i="29" s="1"/>
  <c r="B95" i="29" s="1" a="1"/>
  <c r="B95" i="29" s="1"/>
  <c r="C84" i="30" s="1"/>
  <c r="A96" i="29"/>
  <c r="D96" i="29" s="1"/>
  <c r="E96" i="29" s="1"/>
  <c r="B96" i="29" s="1" a="1"/>
  <c r="B96" i="29" s="1"/>
  <c r="C85" i="30" s="1"/>
  <c r="A97" i="29"/>
  <c r="D97" i="29" s="1"/>
  <c r="A98" i="29"/>
  <c r="D98" i="29" s="1"/>
  <c r="A99" i="29"/>
  <c r="D99" i="29" s="1"/>
  <c r="A100" i="29"/>
  <c r="D100" i="29" s="1"/>
  <c r="A101" i="29"/>
  <c r="D101" i="29" s="1"/>
  <c r="A104" i="29"/>
  <c r="D104" i="29" s="1"/>
  <c r="E104" i="29" s="1"/>
  <c r="B104" i="29" s="1" a="1"/>
  <c r="B104" i="29" s="1"/>
  <c r="D81" i="30" s="1"/>
  <c r="A92" i="29"/>
  <c r="D92" i="29" s="1"/>
  <c r="E92" i="29" s="1"/>
  <c r="B92" i="29" s="1" a="1"/>
  <c r="B92" i="29" s="1"/>
  <c r="C81" i="30" s="1"/>
  <c r="A81" i="29"/>
  <c r="D81" i="29" s="1"/>
  <c r="E81" i="29" s="1"/>
  <c r="B81" i="29" s="1" a="1"/>
  <c r="B81" i="29" s="1"/>
  <c r="D52" i="30" s="1"/>
  <c r="A82" i="29"/>
  <c r="D82" i="29" s="1"/>
  <c r="A83" i="29"/>
  <c r="D83" i="29" s="1"/>
  <c r="A84" i="29"/>
  <c r="D84" i="29" s="1"/>
  <c r="A85" i="29"/>
  <c r="D85" i="29" s="1"/>
  <c r="A86" i="29"/>
  <c r="D86" i="29" s="1"/>
  <c r="E86" i="29" s="1"/>
  <c r="B86" i="29" s="1" a="1"/>
  <c r="B86" i="29" s="1"/>
  <c r="D57" i="30" s="1"/>
  <c r="A87" i="29"/>
  <c r="D87" i="29" s="1"/>
  <c r="E87" i="29" s="1"/>
  <c r="B87" i="29" s="1" a="1"/>
  <c r="B87" i="29" s="1"/>
  <c r="D58" i="30" s="1"/>
  <c r="A88" i="29"/>
  <c r="D88" i="29" s="1"/>
  <c r="E88" i="29" s="1"/>
  <c r="B88" i="29" s="1" a="1"/>
  <c r="B88" i="29" s="1"/>
  <c r="D59" i="30" s="1"/>
  <c r="A89" i="29"/>
  <c r="D89" i="29" s="1"/>
  <c r="A80" i="29"/>
  <c r="D80" i="29" s="1"/>
  <c r="A69" i="29"/>
  <c r="D69" i="29" s="1"/>
  <c r="A70" i="29"/>
  <c r="D70" i="29" s="1"/>
  <c r="A71" i="29"/>
  <c r="D71" i="29" s="1"/>
  <c r="A72" i="29"/>
  <c r="D72" i="29" s="1"/>
  <c r="A73" i="29"/>
  <c r="D73" i="29" s="1"/>
  <c r="A74" i="29"/>
  <c r="D74" i="29" s="1"/>
  <c r="A75" i="29"/>
  <c r="D75" i="29" s="1"/>
  <c r="A76" i="29"/>
  <c r="D76" i="29" s="1"/>
  <c r="E76" i="29" s="1"/>
  <c r="B76" i="29" s="1" a="1"/>
  <c r="B76" i="29" s="1"/>
  <c r="C59" i="30" s="1"/>
  <c r="A77" i="29"/>
  <c r="D77" i="29" s="1"/>
  <c r="A68" i="29"/>
  <c r="D68" i="29" s="1"/>
  <c r="E136" i="29"/>
  <c r="B136" i="29" s="1" a="1"/>
  <c r="B136" i="29" s="1"/>
  <c r="C117" i="30" s="1"/>
  <c r="J24" i="19" s="1"/>
  <c r="E137" i="29"/>
  <c r="B137" i="29" s="1" a="1"/>
  <c r="B137" i="29" s="1"/>
  <c r="C118" i="30" s="1"/>
  <c r="J25" i="19" s="1"/>
  <c r="E138" i="29"/>
  <c r="B138" i="29" s="1" a="1"/>
  <c r="B138" i="29" s="1"/>
  <c r="C119" i="30" s="1"/>
  <c r="J26" i="19" s="1"/>
  <c r="E143" i="29"/>
  <c r="B143" i="29" s="1" a="1"/>
  <c r="B143" i="29" s="1"/>
  <c r="D117" i="30" s="1"/>
  <c r="E144" i="29"/>
  <c r="B144" i="29" s="1" a="1"/>
  <c r="B144" i="29" s="1"/>
  <c r="D118" i="30" s="1"/>
  <c r="E145" i="29"/>
  <c r="B145" i="29" s="1" a="1"/>
  <c r="B145" i="29" s="1"/>
  <c r="D119" i="30" s="1"/>
  <c r="B7" i="19" l="1"/>
  <c r="C21" i="30"/>
  <c r="B6" i="19"/>
  <c r="E101" i="29"/>
  <c r="B101" i="29" s="1" a="1"/>
  <c r="B101" i="29" s="1"/>
  <c r="C90" i="30" s="1"/>
  <c r="E109" i="29"/>
  <c r="B109" i="29" s="1" a="1"/>
  <c r="B109" i="29" s="1"/>
  <c r="D86" i="30" s="1"/>
  <c r="E108" i="29"/>
  <c r="B108" i="29" s="1" a="1"/>
  <c r="B108" i="29" s="1"/>
  <c r="D85" i="30" s="1"/>
  <c r="E97" i="29"/>
  <c r="B97" i="29" s="1" a="1"/>
  <c r="B97" i="29" s="1"/>
  <c r="C86" i="30" s="1"/>
  <c r="E94" i="29"/>
  <c r="B94" i="29" s="1" a="1"/>
  <c r="B94" i="29" s="1"/>
  <c r="C83" i="30" s="1"/>
  <c r="E89" i="29"/>
  <c r="B89" i="29" s="1" a="1"/>
  <c r="B89" i="29" s="1"/>
  <c r="D60" i="30" s="1"/>
  <c r="E85" i="29"/>
  <c r="B85" i="29" s="1" a="1"/>
  <c r="B85" i="29" s="1"/>
  <c r="D56" i="30" s="1"/>
  <c r="E84" i="29"/>
  <c r="B84" i="29" s="1" a="1"/>
  <c r="B84" i="29" s="1"/>
  <c r="D55" i="30" s="1"/>
  <c r="E82" i="29"/>
  <c r="B82" i="29" s="1" a="1"/>
  <c r="B82" i="29" s="1"/>
  <c r="D53" i="30" s="1"/>
  <c r="E80" i="29"/>
  <c r="B80" i="29" s="1" a="1"/>
  <c r="B80" i="29" s="1"/>
  <c r="D51" i="30" s="1"/>
  <c r="E75" i="29"/>
  <c r="B75" i="29" s="1" a="1"/>
  <c r="B75" i="29" s="1"/>
  <c r="C58" i="30" s="1"/>
  <c r="E74" i="29"/>
  <c r="B74" i="29" s="1" a="1"/>
  <c r="B74" i="29" s="1"/>
  <c r="C57" i="30" s="1"/>
  <c r="E73" i="29"/>
  <c r="B73" i="29" s="1" a="1"/>
  <c r="B73" i="29" s="1"/>
  <c r="C56" i="30" s="1"/>
  <c r="E68" i="29"/>
  <c r="B68" i="29" s="1" a="1"/>
  <c r="B68" i="29" s="1"/>
  <c r="C51" i="30" s="1"/>
  <c r="E98" i="29"/>
  <c r="B98" i="29" s="1" a="1"/>
  <c r="B98" i="29" s="1"/>
  <c r="C87" i="30" s="1"/>
  <c r="E111" i="29"/>
  <c r="B111" i="29" s="1" a="1"/>
  <c r="B111" i="29" s="1"/>
  <c r="D88" i="30" s="1"/>
  <c r="E112" i="29"/>
  <c r="B112" i="29" s="1" a="1"/>
  <c r="B112" i="29" s="1"/>
  <c r="D89" i="30" s="1"/>
  <c r="E99" i="29"/>
  <c r="B99" i="29" s="1" a="1"/>
  <c r="B99" i="29" s="1"/>
  <c r="C88" i="30" s="1"/>
  <c r="E77" i="29"/>
  <c r="B77" i="29" s="1" a="1"/>
  <c r="B77" i="29" s="1"/>
  <c r="C60" i="30" s="1"/>
  <c r="E100" i="29"/>
  <c r="B100" i="29" s="1" a="1"/>
  <c r="B100" i="29" s="1"/>
  <c r="C89" i="30" s="1"/>
  <c r="E113" i="29"/>
  <c r="B113" i="29" s="1" a="1"/>
  <c r="B113" i="29" s="1"/>
  <c r="D90" i="30" s="1"/>
  <c r="E69" i="29"/>
  <c r="B69" i="29" s="1" a="1"/>
  <c r="B69" i="29" s="1"/>
  <c r="C52" i="30" s="1"/>
  <c r="E93" i="29"/>
  <c r="B93" i="29" s="1" a="1"/>
  <c r="B93" i="29" s="1"/>
  <c r="C82" i="30" s="1"/>
  <c r="E70" i="29"/>
  <c r="B70" i="29" s="1" a="1"/>
  <c r="B70" i="29" s="1"/>
  <c r="C53" i="30" s="1"/>
  <c r="E71" i="29"/>
  <c r="B71" i="29" s="1" a="1"/>
  <c r="B71" i="29" s="1"/>
  <c r="C54" i="30" s="1"/>
  <c r="E72" i="29"/>
  <c r="B72" i="29" s="1" a="1"/>
  <c r="B72" i="29" s="1"/>
  <c r="C55" i="30" s="1"/>
  <c r="E83" i="29"/>
  <c r="B83" i="29" s="1" a="1"/>
  <c r="B83" i="29" s="1"/>
  <c r="D54" i="30" s="1"/>
  <c r="E107" i="29"/>
  <c r="B107" i="29" s="1" a="1"/>
  <c r="B107" i="29" s="1"/>
  <c r="D84" i="30" s="1"/>
  <c r="A54" i="29"/>
  <c r="D54" i="29" s="1"/>
  <c r="A55" i="29"/>
  <c r="D55" i="29" s="1"/>
  <c r="A56" i="29"/>
  <c r="A57" i="29"/>
  <c r="A58" i="29"/>
  <c r="A59" i="29"/>
  <c r="A60" i="29"/>
  <c r="A61" i="29"/>
  <c r="A62" i="29"/>
  <c r="A53" i="29"/>
  <c r="D53" i="29" s="1"/>
  <c r="A42" i="29"/>
  <c r="D42" i="29" s="1"/>
  <c r="A43" i="29"/>
  <c r="D43" i="29" s="1"/>
  <c r="A44" i="29"/>
  <c r="A45" i="29"/>
  <c r="A46" i="29"/>
  <c r="A47" i="29"/>
  <c r="A48" i="29"/>
  <c r="A49" i="29"/>
  <c r="A50" i="29"/>
  <c r="A41" i="29"/>
  <c r="D41" i="29" s="1"/>
  <c r="A30" i="29"/>
  <c r="D30" i="29" s="1"/>
  <c r="A31" i="29"/>
  <c r="D31" i="29" s="1"/>
  <c r="A32" i="29"/>
  <c r="D32" i="29" s="1"/>
  <c r="A33" i="29"/>
  <c r="D33" i="29" s="1"/>
  <c r="A34" i="29"/>
  <c r="D34" i="29" s="1"/>
  <c r="A35" i="29"/>
  <c r="D35" i="29" s="1"/>
  <c r="A36" i="29"/>
  <c r="D36" i="29" s="1"/>
  <c r="A37" i="29"/>
  <c r="D37" i="29" s="1"/>
  <c r="A38" i="29"/>
  <c r="D38" i="29" s="1"/>
  <c r="A29" i="29"/>
  <c r="D29" i="29" s="1"/>
  <c r="A18" i="29"/>
  <c r="D18" i="29" s="1"/>
  <c r="A19" i="29"/>
  <c r="D19" i="29" s="1"/>
  <c r="A20" i="29"/>
  <c r="D20" i="29" s="1"/>
  <c r="A21" i="29"/>
  <c r="D21" i="29" s="1"/>
  <c r="A22" i="29"/>
  <c r="D22" i="29" s="1"/>
  <c r="A23" i="29"/>
  <c r="D23" i="29" s="1"/>
  <c r="A24" i="29"/>
  <c r="D24" i="29" s="1"/>
  <c r="A25" i="29"/>
  <c r="D25" i="29" s="1"/>
  <c r="A26" i="29"/>
  <c r="D26" i="29" s="1"/>
  <c r="A17" i="29"/>
  <c r="D17" i="29" s="1"/>
  <c r="B82" i="30"/>
  <c r="B83" i="30"/>
  <c r="B84" i="30"/>
  <c r="B85" i="30"/>
  <c r="B86" i="30"/>
  <c r="B87" i="30"/>
  <c r="B88" i="30"/>
  <c r="B89" i="30"/>
  <c r="B90" i="30"/>
  <c r="B81" i="30"/>
  <c r="B67" i="30"/>
  <c r="B68" i="30"/>
  <c r="B69" i="30"/>
  <c r="B70" i="30"/>
  <c r="B71" i="30"/>
  <c r="B72" i="30"/>
  <c r="B73" i="30"/>
  <c r="B74" i="30"/>
  <c r="B75" i="30"/>
  <c r="B66" i="30"/>
  <c r="B52" i="30"/>
  <c r="B53" i="30"/>
  <c r="B54" i="30"/>
  <c r="B55" i="30"/>
  <c r="B56" i="30"/>
  <c r="B57" i="30"/>
  <c r="B58" i="30"/>
  <c r="B59" i="30"/>
  <c r="B60" i="30"/>
  <c r="B51" i="30"/>
  <c r="B37" i="30"/>
  <c r="B38" i="30"/>
  <c r="B39" i="30"/>
  <c r="B40" i="30"/>
  <c r="B41" i="30"/>
  <c r="B42" i="30"/>
  <c r="B43" i="30"/>
  <c r="B44" i="30"/>
  <c r="B45" i="30"/>
  <c r="B36" i="30"/>
  <c r="E164" i="29"/>
  <c r="B164" i="29" s="1" a="1"/>
  <c r="B164" i="29" s="1"/>
  <c r="C143" i="30" s="1"/>
  <c r="E166" i="29"/>
  <c r="B166" i="29" s="1" a="1"/>
  <c r="B166" i="29" s="1"/>
  <c r="C145" i="30" s="1"/>
  <c r="R29" i="19" s="1"/>
  <c r="E167" i="29"/>
  <c r="B167" i="29" s="1" a="1"/>
  <c r="B167" i="29" s="1"/>
  <c r="C146" i="30" s="1"/>
  <c r="R28" i="19" s="1"/>
  <c r="E163" i="29"/>
  <c r="B163" i="29" s="1" a="1"/>
  <c r="B163" i="29" s="1"/>
  <c r="C142" i="30" s="1"/>
  <c r="E162" i="29"/>
  <c r="E161" i="29"/>
  <c r="B161" i="29" s="1" a="1"/>
  <c r="B161" i="29" s="1"/>
  <c r="C140" i="30" s="1"/>
  <c r="E131" i="29"/>
  <c r="B131" i="29" s="1" a="1"/>
  <c r="B131" i="29" s="1"/>
  <c r="E111" i="30" s="1"/>
  <c r="T23" i="19" s="1"/>
  <c r="J13" i="20" s="1"/>
  <c r="E155" i="29"/>
  <c r="B155" i="29" s="1" a="1"/>
  <c r="B155" i="29" s="1"/>
  <c r="C134" i="30" s="1"/>
  <c r="J40" i="19" s="1"/>
  <c r="E156" i="29"/>
  <c r="B156" i="29" s="1" a="1"/>
  <c r="B156" i="29" s="1"/>
  <c r="C135" i="30" s="1"/>
  <c r="J50" i="19" s="1"/>
  <c r="E118" i="29"/>
  <c r="B118" i="29" s="1" a="1"/>
  <c r="B118" i="29" s="1"/>
  <c r="C106" i="30" s="1"/>
  <c r="E119" i="29"/>
  <c r="B119" i="29" s="1" a="1"/>
  <c r="B119" i="29" s="1"/>
  <c r="C107" i="30" s="1"/>
  <c r="E120" i="29"/>
  <c r="B120" i="29" s="1" a="1"/>
  <c r="B120" i="29" s="1"/>
  <c r="E121" i="29"/>
  <c r="B121" i="29" s="1" a="1"/>
  <c r="B121" i="29" s="1"/>
  <c r="C109" i="30" s="1"/>
  <c r="R21" i="19" s="1"/>
  <c r="H11" i="20" s="1"/>
  <c r="E122" i="29"/>
  <c r="B122" i="29" s="1" a="1"/>
  <c r="B122" i="29" s="1"/>
  <c r="C111" i="30" s="1"/>
  <c r="R23" i="19" s="1"/>
  <c r="H13" i="20" s="1"/>
  <c r="E127" i="29"/>
  <c r="B127" i="29" s="1" a="1"/>
  <c r="B127" i="29" s="1"/>
  <c r="E106" i="30" s="1"/>
  <c r="T18" i="19" s="1"/>
  <c r="J8" i="20" s="1"/>
  <c r="E128" i="29"/>
  <c r="B128" i="29" s="1" a="1"/>
  <c r="B128" i="29" s="1"/>
  <c r="E107" i="30" s="1"/>
  <c r="E129" i="29"/>
  <c r="B129" i="29" s="1" a="1"/>
  <c r="B129" i="29" s="1"/>
  <c r="E108" i="30" s="1"/>
  <c r="E130" i="29"/>
  <c r="B130" i="29" s="1" a="1"/>
  <c r="B130" i="29" s="1"/>
  <c r="E109" i="30" s="1"/>
  <c r="T21" i="19" s="1"/>
  <c r="J11" i="20" s="1"/>
  <c r="J53" i="19" l="1"/>
  <c r="E110" i="30"/>
  <c r="T20" i="19"/>
  <c r="J10" i="20" s="1"/>
  <c r="J43" i="19"/>
  <c r="T19" i="19"/>
  <c r="J9" i="20" s="1"/>
  <c r="J62" i="19"/>
  <c r="R19" i="19"/>
  <c r="H9" i="20" s="1"/>
  <c r="J63" i="19"/>
  <c r="J20" i="19"/>
  <c r="R18" i="19"/>
  <c r="H8" i="20" s="1"/>
  <c r="C127" i="30"/>
  <c r="J74" i="19" s="1"/>
  <c r="N10" i="19"/>
  <c r="J33" i="19"/>
  <c r="J19" i="19"/>
  <c r="J44" i="19"/>
  <c r="N9" i="19"/>
  <c r="J32" i="19"/>
  <c r="D50" i="29"/>
  <c r="E50" i="29" s="1"/>
  <c r="B50" i="29" s="1" a="1"/>
  <c r="B50" i="29" s="1"/>
  <c r="C75" i="30" s="1"/>
  <c r="D60" i="29"/>
  <c r="E60" i="29" s="1"/>
  <c r="B60" i="29" s="1" a="1"/>
  <c r="B60" i="29" s="1"/>
  <c r="D73" i="30" s="1"/>
  <c r="D61" i="29"/>
  <c r="E61" i="29" s="1"/>
  <c r="B61" i="29" s="1" a="1"/>
  <c r="B61" i="29" s="1"/>
  <c r="D74" i="30" s="1"/>
  <c r="D59" i="29"/>
  <c r="E59" i="29" s="1"/>
  <c r="B59" i="29" s="1" a="1"/>
  <c r="B59" i="29" s="1"/>
  <c r="D72" i="30" s="1"/>
  <c r="D48" i="29"/>
  <c r="E48" i="29" s="1"/>
  <c r="B48" i="29" s="1" a="1"/>
  <c r="B48" i="29" s="1"/>
  <c r="C73" i="30" s="1"/>
  <c r="D58" i="29"/>
  <c r="E58" i="29" s="1"/>
  <c r="B58" i="29" s="1" a="1"/>
  <c r="B58" i="29" s="1"/>
  <c r="D71" i="30" s="1"/>
  <c r="D62" i="29"/>
  <c r="E62" i="29" s="1"/>
  <c r="B62" i="29" s="1" a="1"/>
  <c r="B62" i="29" s="1"/>
  <c r="D75" i="30" s="1"/>
  <c r="D49" i="29"/>
  <c r="E49" i="29" s="1"/>
  <c r="B49" i="29" s="1" a="1"/>
  <c r="B49" i="29" s="1"/>
  <c r="C74" i="30" s="1"/>
  <c r="D47" i="29"/>
  <c r="E47" i="29" s="1"/>
  <c r="B47" i="29" s="1" a="1"/>
  <c r="B47" i="29" s="1"/>
  <c r="C72" i="30" s="1"/>
  <c r="D57" i="29"/>
  <c r="E57" i="29" s="1"/>
  <c r="B57" i="29" s="1" a="1"/>
  <c r="B57" i="29" s="1"/>
  <c r="D70" i="30" s="1"/>
  <c r="D44" i="29"/>
  <c r="E44" i="29" s="1"/>
  <c r="B44" i="29" s="1" a="1"/>
  <c r="B44" i="29" s="1"/>
  <c r="C69" i="30" s="1"/>
  <c r="D46" i="29"/>
  <c r="E46" i="29" s="1"/>
  <c r="B46" i="29" s="1" a="1"/>
  <c r="B46" i="29" s="1"/>
  <c r="C71" i="30" s="1"/>
  <c r="D56" i="29"/>
  <c r="E56" i="29" s="1"/>
  <c r="B56" i="29" s="1" a="1"/>
  <c r="B56" i="29" s="1"/>
  <c r="D69" i="30" s="1"/>
  <c r="D45" i="29"/>
  <c r="E45" i="29" s="1"/>
  <c r="B45" i="29" s="1" a="1"/>
  <c r="B45" i="29" s="1"/>
  <c r="C70" i="30" s="1"/>
  <c r="C108" i="30"/>
  <c r="B162" i="29"/>
  <c r="C141" i="30" s="1"/>
  <c r="E29" i="29"/>
  <c r="B29" i="29" s="1" a="1"/>
  <c r="B29" i="29" s="1"/>
  <c r="D37" i="30" s="1"/>
  <c r="C128" i="30" s="1"/>
  <c r="J75" i="19" s="1"/>
  <c r="E38" i="29"/>
  <c r="B38" i="29" s="1" a="1"/>
  <c r="B38" i="29" s="1"/>
  <c r="E34" i="29"/>
  <c r="B34" i="29" s="1" a="1"/>
  <c r="B34" i="29" s="1"/>
  <c r="D42" i="30" s="1"/>
  <c r="E25" i="29"/>
  <c r="B25" i="29" s="1" a="1"/>
  <c r="B25" i="29" s="1"/>
  <c r="E36" i="29"/>
  <c r="B36" i="29" s="1" a="1"/>
  <c r="B36" i="29" s="1"/>
  <c r="D44" i="30" s="1"/>
  <c r="E21" i="29"/>
  <c r="B21" i="29" s="1" a="1"/>
  <c r="B21" i="29" s="1"/>
  <c r="C40" i="30" s="1"/>
  <c r="E35" i="29"/>
  <c r="B35" i="29" s="1" a="1"/>
  <c r="B35" i="29" s="1"/>
  <c r="D43" i="30" s="1"/>
  <c r="E30" i="29"/>
  <c r="B30" i="29" s="1" a="1"/>
  <c r="B30" i="29" s="1"/>
  <c r="D38" i="30" s="1"/>
  <c r="E32" i="29"/>
  <c r="B32" i="29" s="1" a="1"/>
  <c r="B32" i="29" s="1"/>
  <c r="D40" i="30" s="1"/>
  <c r="E26" i="29"/>
  <c r="B26" i="29" s="1" a="1"/>
  <c r="B26" i="29" s="1"/>
  <c r="C43" i="30" s="1"/>
  <c r="E37" i="29"/>
  <c r="B37" i="29" s="1" a="1"/>
  <c r="B37" i="29" s="1"/>
  <c r="D45" i="30" s="1"/>
  <c r="E24" i="29"/>
  <c r="B24" i="29" s="1" a="1"/>
  <c r="B24" i="29" s="1"/>
  <c r="E31" i="29"/>
  <c r="B31" i="29" s="1" a="1"/>
  <c r="B31" i="29" s="1"/>
  <c r="D39" i="30" s="1"/>
  <c r="E23" i="29"/>
  <c r="B23" i="29" s="1" a="1"/>
  <c r="B23" i="29" s="1"/>
  <c r="C42" i="30" s="1"/>
  <c r="E22" i="29"/>
  <c r="B22" i="29" s="1" a="1"/>
  <c r="B22" i="29" s="1"/>
  <c r="C41" i="30" s="1"/>
  <c r="E33" i="29"/>
  <c r="B33" i="29" s="1" a="1"/>
  <c r="B33" i="29" s="1"/>
  <c r="D41" i="30" s="1"/>
  <c r="E18" i="29"/>
  <c r="B18" i="29" s="1" a="1"/>
  <c r="B18" i="29" s="1"/>
  <c r="C37" i="30" s="1"/>
  <c r="C110" i="30" l="1"/>
  <c r="R20" i="19"/>
  <c r="H10" i="20" s="1"/>
  <c r="T22" i="19"/>
  <c r="J12" i="20" s="1"/>
  <c r="F110" i="30"/>
  <c r="U22" i="19" s="1"/>
  <c r="K12" i="20" s="1"/>
  <c r="C130" i="30"/>
  <c r="B29" i="19" s="1"/>
  <c r="J16" i="19"/>
  <c r="J31" i="19"/>
  <c r="E54" i="29"/>
  <c r="B54" i="29" s="1" a="1"/>
  <c r="B54" i="29" s="1"/>
  <c r="D67" i="30" s="1"/>
  <c r="R40" i="19" s="1"/>
  <c r="E55" i="29"/>
  <c r="B55" i="29" s="1" a="1"/>
  <c r="B55" i="29" s="1"/>
  <c r="D68" i="30" s="1"/>
  <c r="R41" i="19" s="1"/>
  <c r="E53" i="29"/>
  <c r="B53" i="29" s="1" a="1"/>
  <c r="B53" i="29" s="1"/>
  <c r="D66" i="30" s="1"/>
  <c r="R42" i="19" s="1"/>
  <c r="E42" i="29"/>
  <c r="B42" i="29" s="1" a="1"/>
  <c r="B42" i="29" s="1"/>
  <c r="C67" i="30" s="1"/>
  <c r="E43" i="29"/>
  <c r="B43" i="29" s="1" a="1"/>
  <c r="B43" i="29" s="1"/>
  <c r="C68" i="30" s="1"/>
  <c r="E41" i="29"/>
  <c r="B41" i="29" s="1" a="1"/>
  <c r="B41" i="29" s="1"/>
  <c r="D98" i="30"/>
  <c r="D99" i="30"/>
  <c r="D97" i="30"/>
  <c r="E19" i="29"/>
  <c r="B19" i="29" s="1" a="1"/>
  <c r="B19" i="29" s="1"/>
  <c r="C38" i="30" s="1"/>
  <c r="C98" i="30" s="1"/>
  <c r="E20" i="29"/>
  <c r="B20" i="29" s="1" a="1"/>
  <c r="B20" i="29" s="1"/>
  <c r="C39" i="30" s="1"/>
  <c r="C99" i="30" s="1"/>
  <c r="E17" i="29"/>
  <c r="B17" i="29" s="1" a="1"/>
  <c r="B17" i="29" s="1"/>
  <c r="C36" i="30" s="1"/>
  <c r="C97" i="30" s="1"/>
  <c r="R22" i="19" l="1"/>
  <c r="H12" i="20" s="1"/>
  <c r="D110" i="30"/>
  <c r="S22" i="19" s="1"/>
  <c r="I12" i="20" s="1"/>
  <c r="C131" i="30"/>
  <c r="J59" i="19" s="1"/>
  <c r="J72" i="19"/>
  <c r="C66" i="30"/>
  <c r="F109" i="30"/>
  <c r="U21" i="19" s="1"/>
  <c r="K11" i="20" s="1"/>
  <c r="F108" i="30"/>
  <c r="U20" i="19" s="1"/>
  <c r="K10" i="20" s="1"/>
  <c r="F111" i="30"/>
  <c r="U23" i="19" s="1"/>
  <c r="K13" i="20" s="1"/>
  <c r="F107" i="30"/>
  <c r="U19" i="19" s="1"/>
  <c r="K9" i="20" s="1"/>
  <c r="E94" i="30"/>
  <c r="E99" i="30" s="1"/>
  <c r="D107" i="30"/>
  <c r="S19" i="19" s="1"/>
  <c r="I9" i="20" s="1"/>
  <c r="C100" i="30"/>
  <c r="D100" i="30"/>
  <c r="D108" i="30"/>
  <c r="S20" i="19" s="1"/>
  <c r="I10" i="20" s="1"/>
  <c r="D111" i="30"/>
  <c r="S23" i="19" s="1"/>
  <c r="I13" i="20" s="1"/>
  <c r="D109" i="30"/>
  <c r="S21" i="19" s="1"/>
  <c r="I11" i="20" s="1"/>
  <c r="K60" i="19"/>
  <c r="J52" i="19"/>
  <c r="F106" i="30" l="1"/>
  <c r="U18" i="19" s="1"/>
  <c r="K8" i="20" s="1"/>
  <c r="E97" i="30"/>
  <c r="E98" i="30"/>
  <c r="D106" i="30"/>
  <c r="S18" i="19" s="1"/>
  <c r="I8" i="20" s="1"/>
  <c r="B27" i="19"/>
  <c r="C29" i="19" s="1"/>
  <c r="L9" i="20"/>
  <c r="L10" i="20"/>
  <c r="E100" i="30" l="1"/>
  <c r="C30" i="19"/>
  <c r="C31" i="19"/>
  <c r="R38" i="19" l="1"/>
  <c r="S41" i="19" s="1"/>
  <c r="K74" i="19" l="1"/>
  <c r="K59" i="19"/>
  <c r="S42" i="19"/>
  <c r="S40" i="19"/>
  <c r="K75" i="1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<sst xmlns="http://schemas.openxmlformats.org/spreadsheetml/2006/main" count="6072" uniqueCount="219">
  <si>
    <t>Done</t>
  </si>
  <si>
    <t>Cloud</t>
  </si>
  <si>
    <t>BAU</t>
  </si>
  <si>
    <t>Architecture</t>
  </si>
  <si>
    <t>Convergence</t>
  </si>
  <si>
    <t>In Progress</t>
  </si>
  <si>
    <t>Dataverse</t>
  </si>
  <si>
    <t>Project</t>
  </si>
  <si>
    <t>labels</t>
  </si>
  <si>
    <t>story points</t>
  </si>
  <si>
    <t>estimate (story points)</t>
  </si>
  <si>
    <t>%</t>
  </si>
  <si>
    <t>throughput (no. of items)</t>
  </si>
  <si>
    <t>not completed in sprint</t>
  </si>
  <si>
    <t>completed in sprint</t>
  </si>
  <si>
    <t>TOTAL IN THE SPRINT</t>
  </si>
  <si>
    <t>committed at sprint start</t>
  </si>
  <si>
    <t>added after sprint start</t>
  </si>
  <si>
    <t>removed from sprint</t>
  </si>
  <si>
    <t>Sprint Progress</t>
  </si>
  <si>
    <t>Stream Allocation</t>
  </si>
  <si>
    <t>Sprint Completion</t>
  </si>
  <si>
    <t>totals</t>
  </si>
  <si>
    <t>Metric Confidence</t>
  </si>
  <si>
    <t>work item granularity ratio (completed work)</t>
  </si>
  <si>
    <t>unestimated work in sprint (%)</t>
  </si>
  <si>
    <t>Emergent work (BAU/Improvement)</t>
  </si>
  <si>
    <t>Projects</t>
  </si>
  <si>
    <t>Sprint Total</t>
  </si>
  <si>
    <t>sum</t>
  </si>
  <si>
    <t>Streams (labels)</t>
  </si>
  <si>
    <t>Skills (components)</t>
  </si>
  <si>
    <t>done</t>
  </si>
  <si>
    <t>sprint completion</t>
  </si>
  <si>
    <t>not started</t>
  </si>
  <si>
    <t>WIP</t>
  </si>
  <si>
    <t>emergent work | planned vs actual</t>
  </si>
  <si>
    <t>work item granularity</t>
  </si>
  <si>
    <t>points</t>
  </si>
  <si>
    <t>items</t>
  </si>
  <si>
    <t>burnup chart</t>
  </si>
  <si>
    <t>Architecture &amp; Engineering</t>
  </si>
  <si>
    <t>sprint name</t>
  </si>
  <si>
    <t>sprint summary</t>
  </si>
  <si>
    <t>date range</t>
  </si>
  <si>
    <t>total in sprint</t>
  </si>
  <si>
    <t>target</t>
  </si>
  <si>
    <t>sprint capacity</t>
  </si>
  <si>
    <t>capacity trend</t>
  </si>
  <si>
    <t>screenshot</t>
  </si>
  <si>
    <t>sprint velocity trends</t>
  </si>
  <si>
    <t>CHART: complete vs total</t>
  </si>
  <si>
    <t>CHART: done vs WIP</t>
  </si>
  <si>
    <t>BACKGROUND: capacity vs trend</t>
  </si>
  <si>
    <t>unestimated work</t>
  </si>
  <si>
    <t>% items</t>
  </si>
  <si>
    <t>actual work completed</t>
  </si>
  <si>
    <t>emergent work |work types</t>
  </si>
  <si>
    <t>Improvement</t>
  </si>
  <si>
    <t>delivery allocation | outcomes</t>
  </si>
  <si>
    <t>delivery allocation | streams</t>
  </si>
  <si>
    <t>TOTAL IN SPRINT</t>
  </si>
  <si>
    <t>added after sprint start (+)</t>
  </si>
  <si>
    <t>removed from sprint (-)</t>
  </si>
  <si>
    <t>committed at sprint start (-)</t>
  </si>
  <si>
    <r>
      <rPr>
        <b/>
        <sz val="11"/>
        <color theme="2" tint="-0.249977111117893"/>
        <rFont val="Calibri"/>
        <family val="2"/>
        <scheme val="minor"/>
      </rPr>
      <t>estimate</t>
    </r>
    <r>
      <rPr>
        <sz val="11"/>
        <color theme="2" tint="-0.249977111117893"/>
        <rFont val="Calibri"/>
        <family val="2"/>
        <scheme val="minor"/>
      </rPr>
      <t xml:space="preserve">
(story points)</t>
    </r>
  </si>
  <si>
    <r>
      <rPr>
        <b/>
        <sz val="11"/>
        <color theme="2" tint="-0.249977111117893"/>
        <rFont val="Calibri"/>
        <family val="2"/>
        <scheme val="minor"/>
      </rPr>
      <t>throughput</t>
    </r>
    <r>
      <rPr>
        <sz val="11"/>
        <color theme="2" tint="-0.249977111117893"/>
        <rFont val="Calibri"/>
        <family val="2"/>
        <scheme val="minor"/>
      </rPr>
      <t xml:space="preserve">
(no. of items)</t>
    </r>
  </si>
  <si>
    <t>incomplete</t>
  </si>
  <si>
    <t>capacity guide</t>
  </si>
  <si>
    <t>trend</t>
  </si>
  <si>
    <t>insight</t>
  </si>
  <si>
    <t>achievable sprint goal</t>
  </si>
  <si>
    <t>healthy performance trend</t>
  </si>
  <si>
    <t>sprint goal</t>
  </si>
  <si>
    <t>performance</t>
  </si>
  <si>
    <t>performance trend</t>
  </si>
  <si>
    <t>calculated capacity</t>
  </si>
  <si>
    <t>total work items completed</t>
  </si>
  <si>
    <t>total story points completed</t>
  </si>
  <si>
    <t>total work items unestimated</t>
  </si>
  <si>
    <t>total work items planned</t>
  </si>
  <si>
    <t>completed work items</t>
  </si>
  <si>
    <t>completed story points</t>
  </si>
  <si>
    <t>total emergent work</t>
  </si>
  <si>
    <t>SUM</t>
  </si>
  <si>
    <t>total</t>
  </si>
  <si>
    <t>planned pts</t>
  </si>
  <si>
    <t>completed pts</t>
  </si>
  <si>
    <t>throughput</t>
  </si>
  <si>
    <t>expected</t>
  </si>
  <si>
    <t>Calculated Stats</t>
  </si>
  <si>
    <t>Sprint Summary | Data</t>
  </si>
  <si>
    <t>stats calculated based on cleaned data</t>
  </si>
  <si>
    <t>stats used by Sprint Summary presentation.</t>
  </si>
  <si>
    <t>value</t>
  </si>
  <si>
    <t>sprintName</t>
  </si>
  <si>
    <t>squadName</t>
  </si>
  <si>
    <t>sprintDate_start</t>
  </si>
  <si>
    <t>sprintDate_end</t>
  </si>
  <si>
    <t>sprintOverview_backlogSize_estimate</t>
  </si>
  <si>
    <t>sprintOverview_backlogSize_throughput</t>
  </si>
  <si>
    <t>sprintOverview_completedTotal_estimate</t>
  </si>
  <si>
    <t>sprintOverview_completedTotal_throughput</t>
  </si>
  <si>
    <t>sprintOverview_notCompletedInSprint_estimate</t>
  </si>
  <si>
    <t>sprintOverview_notCompletedInSprint_throughput</t>
  </si>
  <si>
    <t>sprintOverview_committedAtStartOfSprint_estimate</t>
  </si>
  <si>
    <t>sprintOverview_committedAtStartOfSprint_throughput</t>
  </si>
  <si>
    <t>sprintOverview_removedFromSprint_estimate</t>
  </si>
  <si>
    <t>sprintOverview_removedFromSprint_throughput</t>
  </si>
  <si>
    <t>sprintCompletion_notStarted_throughput</t>
  </si>
  <si>
    <t>sprintCompletion_notStarted_estimate</t>
  </si>
  <si>
    <t>sprintCompletion_inProgress_throughput</t>
  </si>
  <si>
    <t>sprintCompletion_inProgress_estimate</t>
  </si>
  <si>
    <t>sprintCompletion_done_throughput</t>
  </si>
  <si>
    <t>sprintCompletion_done_estimate</t>
  </si>
  <si>
    <t>labels_BAU_count</t>
  </si>
  <si>
    <t>labels_BAU_storyPoints</t>
  </si>
  <si>
    <t>labels_FY24Q4-Committed_count</t>
  </si>
  <si>
    <t>labels_FY24Q4-Committed_storyPoints</t>
  </si>
  <si>
    <t>labels_Convergence_count</t>
  </si>
  <si>
    <t>labels_Convergence_storyPoints</t>
  </si>
  <si>
    <t>labels_Cloud_count</t>
  </si>
  <si>
    <t>labels_Cloud_storyPoints</t>
  </si>
  <si>
    <t>labels_Project_count</t>
  </si>
  <si>
    <t>labels_Project_storyPoints</t>
  </si>
  <si>
    <t>labels_Dataverse_count</t>
  </si>
  <si>
    <t>labels_Dataverse_storyPoints</t>
  </si>
  <si>
    <t>labels_HESTAi_count</t>
  </si>
  <si>
    <t>labels_HESTAi_storyPoints</t>
  </si>
  <si>
    <t>labels_DEP-Resolution_count</t>
  </si>
  <si>
    <t>labels_DEP-Resolution_storyPoints</t>
  </si>
  <si>
    <t>labels_CIT_count</t>
  </si>
  <si>
    <t>labels_CIT_storyPoints</t>
  </si>
  <si>
    <t>labels_INT-DEP.AE_count</t>
  </si>
  <si>
    <t>labels_INT-DEP.AE_storyPoints</t>
  </si>
  <si>
    <t>labels_FY25Q1-Committed_count</t>
  </si>
  <si>
    <t>labels_FY25Q1-Committed_storyPoints</t>
  </si>
  <si>
    <t>labels_Integration_count</t>
  </si>
  <si>
    <t>labels_Integration_storyPoints</t>
  </si>
  <si>
    <t>components_Dataverse_count</t>
  </si>
  <si>
    <t>components_Dataverse_storyPoints</t>
  </si>
  <si>
    <t>components_Cloud_count</t>
  </si>
  <si>
    <t>components_Cloud_storyPoints</t>
  </si>
  <si>
    <t>components_Architecture_count</t>
  </si>
  <si>
    <t>components_Architecture_storyPoints</t>
  </si>
  <si>
    <t>components_Partner_count</t>
  </si>
  <si>
    <t>components_Partner_storyPoints</t>
  </si>
  <si>
    <t>completedLabels_BAU_count</t>
  </si>
  <si>
    <t>completedLabels_BAU_storyPoints</t>
  </si>
  <si>
    <t>completedLabels_FY24Q4-Committed_count</t>
  </si>
  <si>
    <t>completedLabels_FY24Q4-Committed_storyPoints</t>
  </si>
  <si>
    <t>completedLabels_Convergence_count</t>
  </si>
  <si>
    <t>completedLabels_Convergence_storyPoints</t>
  </si>
  <si>
    <t>completedLabels_Cloud_count</t>
  </si>
  <si>
    <t>completedLabels_Cloud_storyPoints</t>
  </si>
  <si>
    <t>completedLabels_Project_count</t>
  </si>
  <si>
    <t>completedLabels_Project_storyPoints</t>
  </si>
  <si>
    <t>completedLabels_Dataverse_count</t>
  </si>
  <si>
    <t>completedLabels_Dataverse_storyPoints</t>
  </si>
  <si>
    <t>completedLabels_HESTAi_count</t>
  </si>
  <si>
    <t>completedLabels_HESTAi_storyPoints</t>
  </si>
  <si>
    <t>completedLabels_CIT_count</t>
  </si>
  <si>
    <t>completedLabels_CIT_storyPoints</t>
  </si>
  <si>
    <t>completedLabels_DEP-Resolution_count</t>
  </si>
  <si>
    <t>completedLabels_DEP-Resolution_storyPoints</t>
  </si>
  <si>
    <t>completedLabels_INT-DEP.AE_count</t>
  </si>
  <si>
    <t>completedLabels_INT-DEP.AE_storyPoints</t>
  </si>
  <si>
    <t>completedComponents_Dataverse_count</t>
  </si>
  <si>
    <t>completedComponents_Dataverse_storyPoints</t>
  </si>
  <si>
    <t>completedComponents_Cloud_count</t>
  </si>
  <si>
    <t>completedComponents_Cloud_storyPoints</t>
  </si>
  <si>
    <t>emergentWork_count</t>
  </si>
  <si>
    <t>emergentWork_storyPoints</t>
  </si>
  <si>
    <t>metricConfidence_workitemGranularity</t>
  </si>
  <si>
    <t>metricConfidence_unestimatedWorkPercentage</t>
  </si>
  <si>
    <t>strategy_bauCapacityAllocationPercentage</t>
  </si>
  <si>
    <t>sprintPlanning_targetCapacity_estimate</t>
  </si>
  <si>
    <t>sprintPlanning_targetCapacity_throughput</t>
  </si>
  <si>
    <t>trends_velocityTrends_estimate</t>
  </si>
  <si>
    <t>trends_velocityTrends_throughput</t>
  </si>
  <si>
    <t>insights_achievableSprintGoal_estimate</t>
  </si>
  <si>
    <t>insights_achievableSprintGoal_throughput</t>
  </si>
  <si>
    <t>insights_healthyPerformanceTarget_estimate</t>
  </si>
  <si>
    <t>insights_healthyPerformanceTarget_throughput</t>
  </si>
  <si>
    <t>Q24-4.8</t>
  </si>
  <si>
    <t>Labels</t>
  </si>
  <si>
    <t>Components</t>
  </si>
  <si>
    <t>Labels (done)</t>
  </si>
  <si>
    <t>Labels (total in sprint)</t>
  </si>
  <si>
    <t>csv field</t>
  </si>
  <si>
    <t>csv column index</t>
  </si>
  <si>
    <t>Components (total in sprint)</t>
  </si>
  <si>
    <t>Processed Data</t>
  </si>
  <si>
    <t>Sprint Progress (throughput)</t>
  </si>
  <si>
    <t>Sprint Progress (estimate)</t>
  </si>
  <si>
    <t>status category</t>
  </si>
  <si>
    <t>Todo</t>
  </si>
  <si>
    <t>metric confidence</t>
  </si>
  <si>
    <t>status category (story points)</t>
  </si>
  <si>
    <t>status category (throughtput)</t>
  </si>
  <si>
    <t>estimate</t>
  </si>
  <si>
    <t>Configure the labels you are interested in here only</t>
  </si>
  <si>
    <t>DON’T EDIT THIS LIST (USE CONFIG ABOVE)</t>
  </si>
  <si>
    <t>Data in these tables is pulled in from processed | data sheet</t>
  </si>
  <si>
    <t>calculated stats imported from csv</t>
  </si>
  <si>
    <t>Metadata</t>
  </si>
  <si>
    <t>storyPoints</t>
  </si>
  <si>
    <t>Components (done)</t>
  </si>
  <si>
    <t>count</t>
  </si>
  <si>
    <t>Sprint Details</t>
  </si>
  <si>
    <t>Sprint name</t>
  </si>
  <si>
    <t>squad name</t>
  </si>
  <si>
    <t>sprint start date</t>
  </si>
  <si>
    <t>sprint end date</t>
  </si>
  <si>
    <t>emergent work</t>
  </si>
  <si>
    <t>capacity allocation percentage</t>
  </si>
  <si>
    <t>Emergent Work</t>
  </si>
  <si>
    <t>percentage of done work</t>
  </si>
  <si>
    <t>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</si>
</sst>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7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579"/>
        <bgColor indexed="64"/>
      </patternFill>
    </fill>
  </fills>
  <borders count="2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/>
      <right/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/>
      <bottom/>
      <diagonal/>
    </border>
    <border>
      <left/>
      <right/>
      <top/>
      <bottom style="medium">
        <color theme="0" tint="-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5" borderId="0" xfId="0" applyFill="1"/>
    <xf numFmtId="0" fontId="0" fillId="4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5" borderId="0" xfId="0" applyFont="1" applyFill="1"/>
    <xf numFmtId="0" fontId="2" fillId="6" borderId="0" xfId="0" applyFont="1" applyFill="1"/>
    <xf numFmtId="0" fontId="0" fillId="10" borderId="0" xfId="0" applyFill="1"/>
    <xf numFmtId="0" fontId="0" fillId="11" borderId="0" xfId="0" applyFill="1"/>
    <xf numFmtId="0" fontId="2" fillId="8" borderId="0" xfId="0" applyFont="1" applyFill="1"/>
    <xf numFmtId="0" fontId="2" fillId="7" borderId="0" xfId="0" applyFont="1" applyFill="1" applyAlignment="1">
      <alignment horizontal="left"/>
    </xf>
    <xf numFmtId="0" fontId="0" fillId="8" borderId="2" xfId="0" applyFill="1" applyBorder="1"/>
    <xf numFmtId="0" fontId="2" fillId="8" borderId="2" xfId="0" applyFont="1" applyFill="1" applyBorder="1"/>
    <xf numFmtId="0" fontId="0" fillId="8" borderId="2" xfId="0" applyFill="1" applyBorder="1" applyAlignment="1">
      <alignment horizontal="right"/>
    </xf>
    <xf numFmtId="0" fontId="2" fillId="10" borderId="0" xfId="0" applyFont="1" applyFill="1" applyAlignment="1">
      <alignment horizontal="left"/>
    </xf>
    <xf numFmtId="0" fontId="0" fillId="11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2" fillId="5" borderId="0" xfId="0" applyFont="1" applyFill="1" applyAlignment="1">
      <alignment horizontal="right"/>
    </xf>
    <xf numFmtId="0" fontId="0" fillId="9" borderId="0" xfId="0" applyFill="1" applyAlignment="1">
      <alignment horizontal="center"/>
    </xf>
    <xf numFmtId="0" fontId="7" fillId="13" borderId="0" xfId="0" applyFont="1" applyFill="1" applyAlignment="1">
      <alignment horizontal="right"/>
    </xf>
    <xf numFmtId="0" fontId="7" fillId="13" borderId="0" xfId="0" applyFont="1" applyFill="1"/>
    <xf numFmtId="0" fontId="0" fillId="15" borderId="0" xfId="0" applyFill="1"/>
    <xf numFmtId="0" fontId="2" fillId="15" borderId="0" xfId="0" applyFont="1" applyFill="1"/>
    <xf numFmtId="0" fontId="0" fillId="16" borderId="0" xfId="0" applyFill="1"/>
    <xf numFmtId="0" fontId="0" fillId="17" borderId="0" xfId="0" applyFill="1"/>
    <xf numFmtId="0" fontId="0" fillId="14" borderId="5" xfId="0" applyFill="1" applyBorder="1"/>
    <xf numFmtId="0" fontId="0" fillId="14" borderId="4" xfId="0" applyFill="1" applyBorder="1"/>
    <xf numFmtId="0" fontId="0" fillId="3" borderId="0" xfId="0" applyFill="1"/>
    <xf numFmtId="0" fontId="0" fillId="18" borderId="0" xfId="0" applyFill="1"/>
    <xf numFmtId="0" fontId="0" fillId="14" borderId="12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9" xfId="0" applyFill="1" applyBorder="1"/>
    <xf numFmtId="0" fontId="0" fillId="14" borderId="15" xfId="0" applyFill="1" applyBorder="1"/>
    <xf numFmtId="0" fontId="0" fillId="14" borderId="16" xfId="0" applyFill="1" applyBorder="1"/>
    <xf numFmtId="0" fontId="0" fillId="14" borderId="17" xfId="0" applyFill="1" applyBorder="1" applyAlignment="1">
      <alignment horizontal="center"/>
    </xf>
    <xf numFmtId="0" fontId="0" fillId="14" borderId="17" xfId="0" applyFill="1" applyBorder="1"/>
    <xf numFmtId="0" fontId="0" fillId="14" borderId="13" xfId="0" applyFill="1" applyBorder="1"/>
    <xf numFmtId="0" fontId="0" fillId="14" borderId="0" xfId="0" applyFill="1" applyAlignment="1">
      <alignment horizontal="right"/>
    </xf>
    <xf numFmtId="0" fontId="2" fillId="4" borderId="0" xfId="0" applyFont="1" applyFill="1"/>
    <xf numFmtId="0" fontId="10" fillId="3" borderId="18" xfId="0" applyFont="1" applyFill="1" applyBorder="1" applyAlignment="1">
      <alignment horizontal="right" vertical="center"/>
    </xf>
    <xf numFmtId="0" fontId="11" fillId="3" borderId="18" xfId="0" applyFont="1" applyFill="1" applyBorder="1" applyAlignment="1">
      <alignment horizontal="right" vertical="center"/>
    </xf>
    <xf numFmtId="0" fontId="0" fillId="14" borderId="8" xfId="0" applyFill="1" applyBorder="1"/>
    <xf numFmtId="0" fontId="0" fillId="14" borderId="12" xfId="0" applyFill="1" applyBorder="1"/>
    <xf numFmtId="0" fontId="10" fillId="19" borderId="18" xfId="0" applyFont="1" applyFill="1" applyBorder="1" applyAlignment="1">
      <alignment horizontal="right" vertical="center"/>
    </xf>
    <xf numFmtId="0" fontId="12" fillId="19" borderId="18" xfId="0" applyFont="1" applyFill="1" applyBorder="1" applyAlignment="1">
      <alignment horizontal="right" vertical="center"/>
    </xf>
    <xf numFmtId="0" fontId="6" fillId="14" borderId="16" xfId="0" applyFont="1" applyFill="1" applyBorder="1" applyAlignment="1">
      <alignment vertic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2" fillId="20" borderId="0" xfId="0" applyFont="1" applyFill="1"/>
    <xf numFmtId="0" fontId="0" fillId="20" borderId="0" xfId="0" applyFill="1"/>
    <xf numFmtId="0" fontId="0" fillId="21" borderId="0" xfId="0" applyFill="1"/>
    <xf numFmtId="0" fontId="0" fillId="8" borderId="0" xfId="0" applyFill="1" applyAlignment="1">
      <alignment horizontal="right"/>
    </xf>
    <xf numFmtId="0" fontId="3" fillId="22" borderId="0" xfId="0" applyFont="1" applyFill="1"/>
    <xf numFmtId="0" fontId="13" fillId="22" borderId="0" xfId="0" applyFont="1" applyFill="1"/>
    <xf numFmtId="0" fontId="13" fillId="21" borderId="0" xfId="0" applyFont="1" applyFill="1"/>
    <xf numFmtId="0" fontId="0" fillId="22" borderId="0" xfId="0" applyFill="1"/>
    <xf numFmtId="0" fontId="2" fillId="22" borderId="0" xfId="0" applyFont="1" applyFill="1"/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0" xfId="0" applyFill="1" applyAlignment="1">
      <alignment horizontal="center"/>
    </xf>
    <xf numFmtId="15" fontId="0" fillId="0" borderId="0" xfId="0" applyNumberFormat="1"/>
    <xf numFmtId="0" fontId="0" fillId="0" borderId="0" xfId="0" applyAlignment="1">
      <alignment horizontal="right"/>
    </xf>
    <xf numFmtId="0" fontId="7" fillId="12" borderId="0" xfId="0" applyFont="1" applyFill="1"/>
    <xf numFmtId="0" fontId="2" fillId="0" borderId="0" xfId="0" applyFont="1" applyAlignment="1">
      <alignment horizontal="right"/>
    </xf>
    <xf numFmtId="0" fontId="13" fillId="5" borderId="0" xfId="0" applyFont="1" applyFill="1"/>
    <xf numFmtId="0" fontId="3" fillId="5" borderId="0" xfId="0" applyFont="1" applyFill="1"/>
    <xf numFmtId="0" fontId="0" fillId="6" borderId="0" xfId="0" applyFill="1"/>
    <xf numFmtId="0" fontId="2" fillId="8" borderId="3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0" fillId="23" borderId="0" xfId="0" applyFill="1"/>
    <xf numFmtId="0" fontId="2" fillId="24" borderId="21" xfId="0" applyFont="1" applyFill="1" applyBorder="1"/>
    <xf numFmtId="0" fontId="0" fillId="4" borderId="21" xfId="0" applyFill="1" applyBorder="1"/>
    <xf numFmtId="0" fontId="0" fillId="4" borderId="23" xfId="0" applyFill="1" applyBorder="1"/>
    <xf numFmtId="0" fontId="2" fillId="20" borderId="22" xfId="0" applyFont="1" applyFill="1" applyBorder="1"/>
    <xf numFmtId="0" fontId="0" fillId="25" borderId="22" xfId="0" applyFill="1" applyBorder="1"/>
    <xf numFmtId="0" fontId="0" fillId="25" borderId="24" xfId="0" applyFill="1" applyBorder="1"/>
    <xf numFmtId="0" fontId="16" fillId="17" borderId="25" xfId="0" applyFont="1" applyFill="1" applyBorder="1"/>
    <xf numFmtId="0" fontId="15" fillId="9" borderId="26" xfId="0" applyFont="1" applyFill="1" applyBorder="1"/>
    <xf numFmtId="0" fontId="15" fillId="9" borderId="27" xfId="0" applyFont="1" applyFill="1" applyBorder="1"/>
    <xf numFmtId="0" fontId="0" fillId="4" borderId="0" xfId="0" applyFill="1" applyAlignment="1">
      <alignment horizontal="left"/>
    </xf>
    <xf numFmtId="0" fontId="2" fillId="6" borderId="0" xfId="0" applyFont="1" applyFill="1" applyAlignment="1">
      <alignment horizontal="right"/>
    </xf>
    <xf numFmtId="0" fontId="2" fillId="20" borderId="0" xfId="0" applyFont="1" applyFill="1" applyAlignment="1">
      <alignment horizontal="right"/>
    </xf>
    <xf numFmtId="0" fontId="0" fillId="25" borderId="0" xfId="0" applyFill="1" applyAlignment="1">
      <alignment horizontal="left"/>
    </xf>
    <xf numFmtId="0" fontId="0" fillId="25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12" fillId="26" borderId="0" xfId="0" applyFont="1" applyFill="1"/>
    <xf numFmtId="0" fontId="7" fillId="0" borderId="0" xfId="0" applyFont="1"/>
    <xf numFmtId="0" fontId="2" fillId="17" borderId="0" xfId="0" applyFont="1" applyFill="1"/>
    <xf numFmtId="0" fontId="6" fillId="27" borderId="0" xfId="0" applyFont="1" applyFill="1"/>
    <xf numFmtId="15" fontId="6" fillId="27" borderId="0" xfId="0" applyNumberFormat="1" applyFont="1" applyFill="1"/>
    <xf numFmtId="0" fontId="18" fillId="27" borderId="0" xfId="0" applyFont="1" applyFill="1" applyAlignment="1">
      <alignment horizontal="left" vertical="center"/>
    </xf>
    <xf numFmtId="0" fontId="17" fillId="27" borderId="0" xfId="0" applyFont="1" applyFill="1" applyAlignment="1">
      <alignment horizontal="left" vertical="center"/>
    </xf>
    <xf numFmtId="0" fontId="2" fillId="28" borderId="0" xfId="0" applyFont="1" applyFill="1"/>
    <xf numFmtId="14" fontId="0" fillId="11" borderId="0" xfId="0" applyNumberFormat="1" applyFill="1" applyAlignment="1">
      <alignment horizontal="right"/>
    </xf>
    <xf numFmtId="0" fontId="0" fillId="29" borderId="0" xfId="0" applyFill="1"/>
    <xf numFmtId="0" fontId="0" fillId="9" borderId="0" xfId="0" applyFill="1" applyAlignment="1">
      <alignment horizontal="right"/>
    </xf>
    <xf numFmtId="0" fontId="0" fillId="25" borderId="0" xfId="0" applyFill="1"/>
    <xf numFmtId="0" fontId="2" fillId="25" borderId="0" xfId="0" applyFont="1" applyFill="1"/>
    <xf numFmtId="0" fontId="2" fillId="25" borderId="0" xfId="0" applyFont="1" applyFill="1" applyAlignment="1">
      <alignment horizontal="right"/>
    </xf>
    <xf numFmtId="0" fontId="0" fillId="14" borderId="11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17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8" fillId="14" borderId="18" xfId="0" applyFont="1" applyFill="1" applyBorder="1" applyAlignment="1">
      <alignment horizontal="center" wrapText="1"/>
    </xf>
    <xf numFmtId="0" fontId="14" fillId="17" borderId="19" xfId="0" applyFont="1" applyFill="1" applyBorder="1" applyAlignment="1">
      <alignment horizontal="center" vertical="center"/>
    </xf>
    <xf numFmtId="0" fontId="14" fillId="17" borderId="2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3" fillId="30" borderId="0" xfId="0" applyFont="1" applyFill="1"/>
    <xf numFmtId="0" fontId="0" fillId="30" borderId="0" xfId="0" applyFill="1"/>
    <xf numFmtId="0" fontId="2" fillId="30" borderId="0" xfId="0" applyFont="1" applyFill="1"/>
    <xf numFmtId="0" fontId="4" fillId="30" borderId="0" xfId="0" applyFont="1" applyFill="1"/>
    <xf numFmtId="0" fontId="5" fillId="30" borderId="1" xfId="1" applyFont="1" applyFill="1"/>
    <xf numFmtId="0" fontId="0" fillId="30" borderId="0" xfId="0" applyFill="1" applyAlignment="1">
      <alignment horizontal="left"/>
    </xf>
  </cellXfs>
  <cellStyles count="2">
    <cellStyle name="Input" xfId="1" builtinId="20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CCCC00"/>
      <color rgb="FF9966FF"/>
      <color rgb="FFFF3300"/>
      <color rgb="FFCC6600"/>
      <color rgb="FF993300"/>
      <color rgb="FF0066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B6-4A09-A8CA-69C76733CE30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B6-4A09-A8CA-69C76733CE30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B6-4A09-A8CA-69C76733CE3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8B6-4A09-A8CA-69C76733CE3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D6BEB6E-68E2-4ABF-B894-323C20021F38}" type="CATEGORYNAME">
                      <a:rPr lang="en-US">
                        <a:solidFill>
                          <a:schemeClr val="accent6"/>
                        </a:solidFill>
                      </a:rPr>
                      <a:pPr>
                        <a:defRPr sz="1400"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8B6-4A09-A8CA-69C76733CE3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240A6F4-95AF-409F-84CF-686E33CDA322}" type="CATEGORYNAME">
                      <a:rPr lang="en-US">
                        <a:solidFill>
                          <a:schemeClr val="accent1"/>
                        </a:solidFill>
                      </a:rPr>
                      <a:pPr>
                        <a:defRPr sz="1400"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8B6-4A09-A8CA-69C76733CE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'Sprint Summary | data'!$A$29:$A$31</c:f>
              <c:strCache>
                <c:ptCount val="3"/>
                <c:pt idx="0">
                  <c:v>BAU/Improvement</c:v>
                </c:pt>
                <c:pt idx="1">
                  <c:v>Convergence</c:v>
                </c:pt>
                <c:pt idx="2">
                  <c:v>Project</c:v>
                </c:pt>
              </c:strCache>
            </c:strRef>
          </c:cat>
          <c:val>
            <c:numRef>
              <c:f>'Sprint Summary | data'!$B$29:$B$31</c:f>
              <c:numCache>
                <c:formatCode>General</c:formatCode>
                <c:ptCount val="3"/>
                <c:pt idx="0">
                  <c:v>11.5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B6-4A09-A8CA-69C76733CE3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364964676831362E-3"/>
          <c:y val="1.3891147070242914E-3"/>
          <c:w val="0.99886351706036747"/>
          <c:h val="0.995452193475815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'Sprint Summary | data'!$I$31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'Sprint Summary | data'!$J$31</c:f>
              <c:numCache>
                <c:formatCode>General</c:formatCode>
                <c:ptCount val="1"/>
                <c:pt idx="0">
                  <c:v>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B-4FF9-9870-E1FC6871A8D3}"/>
            </c:ext>
          </c:extLst>
        </c:ser>
        <c:ser>
          <c:idx val="1"/>
          <c:order val="1"/>
          <c:tx>
            <c:strRef>
              <c:f>'Sprint Summary | data'!$I$32</c:f>
              <c:strCache>
                <c:ptCount val="1"/>
                <c:pt idx="0">
                  <c:v>capacity trend</c:v>
                </c:pt>
              </c:strCache>
            </c:strRef>
          </c:tx>
          <c:spPr>
            <a:noFill/>
            <a:ln w="38100"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'Sprint Summary | data'!$J$32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B-4FF9-9870-E1FC6871A8D3}"/>
            </c:ext>
          </c:extLst>
        </c:ser>
        <c:ser>
          <c:idx val="2"/>
          <c:order val="2"/>
          <c:tx>
            <c:strRef>
              <c:f>'Sprint Summary | data'!$I$33</c:f>
              <c:strCache>
                <c:ptCount val="1"/>
                <c:pt idx="0">
                  <c:v>sprint capacity</c:v>
                </c:pt>
              </c:strCache>
            </c:strRef>
          </c:tx>
          <c:spPr>
            <a:noFill/>
            <a:ln w="38100">
              <a:solidFill>
                <a:srgbClr val="92D050"/>
              </a:solidFill>
            </a:ln>
            <a:effectLst/>
          </c:spPr>
          <c:invertIfNegative val="0"/>
          <c:val>
            <c:numRef>
              <c:f>'Sprint Summary | data'!$J$33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4B-4FF9-9870-E1FC6871A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20742479"/>
        <c:axId val="524997135"/>
      </c:barChart>
      <c:catAx>
        <c:axId val="320742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4997135"/>
        <c:crosses val="autoZero"/>
        <c:auto val="1"/>
        <c:lblAlgn val="ctr"/>
        <c:lblOffset val="100"/>
        <c:noMultiLvlLbl val="0"/>
      </c:catAx>
      <c:valAx>
        <c:axId val="524997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07424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0.24513835770528683"/>
          <c:w val="0.93363922019186019"/>
          <c:h val="0.1274987811905428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1" u="none" strike="noStrike" kern="1200" baseline="0">
              <a:ln>
                <a:noFill/>
              </a:ln>
              <a:solidFill>
                <a:schemeClr val="bg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714021041487467E-2"/>
          <c:y val="0.14123530013293792"/>
          <c:w val="0.91547365402854053"/>
          <c:h val="0.4172062583086205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'Sprint Summary | data'!$I$24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'Sprint Summary | data'!$J$24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4-4419-802E-8A5348F14902}"/>
            </c:ext>
          </c:extLst>
        </c:ser>
        <c:ser>
          <c:idx val="1"/>
          <c:order val="1"/>
          <c:tx>
            <c:strRef>
              <c:f>'Sprint Summary | data'!$I$25</c:f>
              <c:strCache>
                <c:ptCount val="1"/>
                <c:pt idx="0">
                  <c:v>WIP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'Sprint Summary | data'!$J$25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4-4419-802E-8A5348F14902}"/>
            </c:ext>
          </c:extLst>
        </c:ser>
        <c:ser>
          <c:idx val="2"/>
          <c:order val="2"/>
          <c:tx>
            <c:strRef>
              <c:f>'Sprint Summary | data'!$I$26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'Sprint Summary | data'!$J$26</c:f>
              <c:numCache>
                <c:formatCode>General</c:formatCode>
                <c:ptCount val="1"/>
                <c:pt idx="0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4-4419-802E-8A5348F149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63247039"/>
        <c:axId val="1461553328"/>
      </c:barChart>
      <c:catAx>
        <c:axId val="36324703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61553328"/>
        <c:crosses val="autoZero"/>
        <c:auto val="1"/>
        <c:lblAlgn val="ctr"/>
        <c:lblOffset val="100"/>
        <c:noMultiLvlLbl val="0"/>
      </c:catAx>
      <c:valAx>
        <c:axId val="146155332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36324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3493194718420144E-2"/>
          <c:y val="0.46820320040640079"/>
          <c:w val="0.90982024305785292"/>
          <c:h val="0.2191573780550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'Sprint Summary | data'!$I$59</c:f>
              <c:strCache>
                <c:ptCount val="1"/>
                <c:pt idx="0">
                  <c:v>actual work completed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val>
            <c:numRef>
              <c:f>'Sprint Summary | data'!$J$59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5-41A6-AD19-BBB2F0262D95}"/>
            </c:ext>
          </c:extLst>
        </c:ser>
        <c:ser>
          <c:idx val="1"/>
          <c:order val="1"/>
          <c:tx>
            <c:strRef>
              <c:f>'Sprint Summary | data'!$I$60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35-41A6-AD19-BBB2F0262D95}"/>
              </c:ext>
            </c:extLst>
          </c:dPt>
          <c:val>
            <c:numRef>
              <c:f>'Sprint Summary | data'!$J$60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35-41A6-AD19-BBB2F0262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24"/>
        <c:axId val="304081647"/>
        <c:axId val="1027335328"/>
      </c:barChart>
      <c:catAx>
        <c:axId val="3040816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27335328"/>
        <c:crosses val="autoZero"/>
        <c:auto val="1"/>
        <c:lblAlgn val="ctr"/>
        <c:lblOffset val="100"/>
        <c:noMultiLvlLbl val="0"/>
      </c:catAx>
      <c:valAx>
        <c:axId val="1027335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408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1.6208247941610027E-3"/>
          <c:y val="0.32748542795786895"/>
          <c:w val="0.30563237814451277"/>
          <c:h val="0.41490404608514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1F-4FC8-BEF0-D5FD0305176E}"/>
              </c:ext>
            </c:extLst>
          </c:dPt>
          <c:dPt>
            <c:idx val="1"/>
            <c:bubble3D val="0"/>
            <c:spPr>
              <a:solidFill>
                <a:srgbClr val="996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1F-4FC8-BEF0-D5FD0305176E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1F-4FC8-BEF0-D5FD0305176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1F-4FC8-BEF0-D5FD0305176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1F-4FC8-BEF0-D5FD0305176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1F-4FC8-BEF0-D5FD0305176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'Sprint Summary | data'!$Q$40:$Q$42</c:f>
              <c:strCache>
                <c:ptCount val="3"/>
                <c:pt idx="0">
                  <c:v>Cloud</c:v>
                </c:pt>
                <c:pt idx="1">
                  <c:v>Dataverse</c:v>
                </c:pt>
                <c:pt idx="2">
                  <c:v>Architecture</c:v>
                </c:pt>
              </c:strCache>
            </c:strRef>
          </c:cat>
          <c:val>
            <c:numRef>
              <c:f>'Sprint Summary | data'!$R$40:$R$42</c:f>
              <c:numCache>
                <c:formatCode>General</c:formatCode>
                <c:ptCount val="3"/>
                <c:pt idx="0">
                  <c:v>9</c:v>
                </c:pt>
                <c:pt idx="1">
                  <c:v>14.5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1F-4FC8-BEF0-D5FD0305176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266404199475072E-2"/>
          <c:y val="9.5688604962115606E-2"/>
          <c:w val="0.9161780402449694"/>
          <c:h val="0.483826219835728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'Sprint Summary | data'!$I$19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'Sprint Summary | data'!$J$19</c:f>
              <c:numCache>
                <c:formatCode>General</c:formatCode>
                <c:ptCount val="1"/>
                <c:pt idx="0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F-4D05-A77D-224150229718}"/>
            </c:ext>
          </c:extLst>
        </c:ser>
        <c:ser>
          <c:idx val="1"/>
          <c:order val="1"/>
          <c:tx>
            <c:strRef>
              <c:f>'Sprint Summary | data'!$I$20</c:f>
              <c:strCache>
                <c:ptCount val="1"/>
                <c:pt idx="0">
                  <c:v>incomplete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'Sprint Summary | data'!$J$20</c:f>
              <c:numCache>
                <c:formatCode>General</c:formatCode>
                <c:ptCount val="1"/>
                <c:pt idx="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F-4D05-A77D-2241502297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63251679"/>
        <c:axId val="1913504064"/>
      </c:barChart>
      <c:catAx>
        <c:axId val="36325167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13504064"/>
        <c:crosses val="autoZero"/>
        <c:auto val="1"/>
        <c:lblAlgn val="ctr"/>
        <c:lblOffset val="100"/>
        <c:noMultiLvlLbl val="0"/>
      </c:catAx>
      <c:valAx>
        <c:axId val="191350406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3632516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4.8986319779551153E-2"/>
          <c:y val="0.50002699665241512"/>
          <c:w val="0.91869422572178483"/>
          <c:h val="0.18194197423435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3E-4055-AD1B-2C176B5CFD9F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3E-4055-AD1B-2C176B5CFD9F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2B39756-DC3E-4C17-AFC4-EFDC113345EC}" type="CATEGORYNAME">
                      <a:rPr lang="en-US">
                        <a:solidFill>
                          <a:srgbClr val="FFC000"/>
                        </a:solidFill>
                      </a:rPr>
                      <a:pPr>
                        <a:defRPr/>
                      </a:pPr>
                      <a:t>[CATEGORY NAME]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23E-4055-AD1B-2C176B5CFD9F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BAC61B5-A1B3-4C79-B164-BC306217BE9F}" type="CATEGORYNAME">
                      <a:rPr lang="en-US">
                        <a:solidFill>
                          <a:schemeClr val="accent6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23E-4055-AD1B-2C176B5CFD9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'Sprint Summary | data'!$I$74:$I$75</c:f>
              <c:strCache>
                <c:ptCount val="2"/>
                <c:pt idx="0">
                  <c:v>BAU</c:v>
                </c:pt>
                <c:pt idx="1">
                  <c:v>Improvement</c:v>
                </c:pt>
              </c:strCache>
            </c:strRef>
          </c:cat>
          <c:val>
            <c:numRef>
              <c:f>'Sprint Summary | data'!$J$74:$J$75</c:f>
              <c:numCache>
                <c:formatCode>General</c:formatCode>
                <c:ptCount val="2"/>
                <c:pt idx="0">
                  <c:v>0</c:v>
                </c:pt>
                <c:pt idx="1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3E-4055-AD1B-2C176B5CFD9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6.png"/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12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chart" Target="../charts/chart7.xml"/><Relationship Id="rId5" Type="http://schemas.openxmlformats.org/officeDocument/2006/relationships/chart" Target="../charts/chart5.xml"/><Relationship Id="rId10" Type="http://schemas.openxmlformats.org/officeDocument/2006/relationships/chart" Target="../charts/chart6.xml"/><Relationship Id="rId4" Type="http://schemas.openxmlformats.org/officeDocument/2006/relationships/chart" Target="../charts/chart4.xml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57151</xdr:colOff>
      <xdr:row>1</xdr:row>
      <xdr:rowOff>122464</xdr:rowOff>
    </xdr:from>
    <xdr:to>
      <xdr:col>3</xdr:col>
      <xdr:colOff>1476375</xdr:colOff>
      <xdr:row>2</xdr:row>
      <xdr:rowOff>966107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36F90-3132-5F4D-8507-63A8E455F07A}"/>
            </a:ext>
          </a:extLst>
        </xdr:cNvPr>
        <xdr:cNvSpPr txBox="1"/>
      </xdr:nvSpPr>
      <xdr:spPr>
        <a:xfrm>
          <a:off x="791937" y="666750"/>
          <a:ext cx="7923438" cy="97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AU" sz="7200" b="1"/>
            <a:t>Sprint Summary</a:t>
          </a:r>
        </a:p>
      </xdr:txBody>
    </xdr:sp>
    <xdr:clientData/>
  </xdr:twoCellAnchor>
  <xdr:twoCellAnchor>
    <xdr:from>
      <xdr:col>2</xdr:col>
      <xdr:colOff>1009541</xdr:colOff>
      <xdr:row>2</xdr:row>
      <xdr:rowOff>1113348</xdr:rowOff>
    </xdr:from>
    <xdr:to>
      <xdr:col>3</xdr:col>
      <xdr:colOff>424433</xdr:colOff>
      <xdr:row>2</xdr:row>
      <xdr:rowOff>1637676</xdr:rowOff>
    </xdr:to>
    <xdr:sp macro="" textlink="#REF!">
      <xdr:nvSpPr>
        <xdr:cNvPr id="3" name="TextBox 2">
          <a:extLst>
            <a:ext uri="{FF2B5EF4-FFF2-40B4-BE49-F238E27FC236}">
              <a16:creationId xmlns:a16="http://schemas.microsoft.com/office/drawing/2014/main" id="{583E4793-F582-443F-AA84-45CE2B9D2FF6}"/>
            </a:ext>
          </a:extLst>
        </xdr:cNvPr>
        <xdr:cNvSpPr txBox="1"/>
      </xdr:nvSpPr>
      <xdr:spPr>
        <a:xfrm>
          <a:off x="1743223" y="1782672"/>
          <a:ext cx="5915061" cy="524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5B068DF-ADDA-448C-9145-DA3574541357}" type="TxLink">
            <a:rPr lang="en-US" sz="3200" b="0" i="0" u="none" strike="noStrike">
              <a:solidFill>
                <a:schemeClr val="bg2">
                  <a:lumMod val="50000"/>
                </a:schemeClr>
              </a:solidFill>
              <a:latin typeface="Calibri"/>
              <a:cs typeface="Calibri"/>
            </a:rPr>
            <a:pPr/>
            <a:t>Architecture &amp; Engineering</a:t>
          </a:fld>
          <a:endParaRPr lang="en-AU" sz="3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360216</xdr:colOff>
      <xdr:row>2</xdr:row>
      <xdr:rowOff>30842</xdr:rowOff>
    </xdr:from>
    <xdr:to>
      <xdr:col>11</xdr:col>
      <xdr:colOff>2605316</xdr:colOff>
      <xdr:row>2</xdr:row>
      <xdr:rowOff>415017</xdr:rowOff>
    </xdr:to>
    <xdr:sp macro="" textlink="'Sprint Summary | data'!B6">
      <xdr:nvSpPr>
        <xdr:cNvPr id="5" name="TextBox 4">
          <a:extLst>
            <a:ext uri="{FF2B5EF4-FFF2-40B4-BE49-F238E27FC236}">
              <a16:creationId xmlns:a16="http://schemas.microsoft.com/office/drawing/2014/main" id="{F192C482-814F-415A-8CDD-141BD92EF45D}"/>
            </a:ext>
          </a:extLst>
        </xdr:cNvPr>
        <xdr:cNvSpPr txBox="1"/>
      </xdr:nvSpPr>
      <xdr:spPr>
        <a:xfrm>
          <a:off x="18294430" y="711199"/>
          <a:ext cx="2245100" cy="384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0305EC1-9F5F-4CD7-82A2-F612A2B4CAAD}" type="TxLink">
            <a:rPr lang="en-US" sz="2800" b="0" i="0" u="none" strike="noStrike">
              <a:solidFill>
                <a:schemeClr val="bg2">
                  <a:lumMod val="75000"/>
                </a:schemeClr>
              </a:solidFill>
              <a:latin typeface="Calibri"/>
              <a:cs typeface="Calibri"/>
            </a:rPr>
            <a:pPr algn="r"/>
            <a:t>Q24-4.8</a:t>
          </a:fld>
          <a:endParaRPr lang="en-AU" sz="28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66221</xdr:colOff>
      <xdr:row>2</xdr:row>
      <xdr:rowOff>1293585</xdr:rowOff>
    </xdr:from>
    <xdr:to>
      <xdr:col>11</xdr:col>
      <xdr:colOff>2600325</xdr:colOff>
      <xdr:row>2</xdr:row>
      <xdr:rowOff>1674585</xdr:rowOff>
    </xdr:to>
    <xdr:sp macro="" textlink="'Sprint Summary | data'!B7">
      <xdr:nvSpPr>
        <xdr:cNvPr id="6" name="TextBox 5">
          <a:extLst>
            <a:ext uri="{FF2B5EF4-FFF2-40B4-BE49-F238E27FC236}">
              <a16:creationId xmlns:a16="http://schemas.microsoft.com/office/drawing/2014/main" id="{1345FB75-668C-41A6-AA83-B0B1201B7757}"/>
            </a:ext>
          </a:extLst>
        </xdr:cNvPr>
        <xdr:cNvSpPr txBox="1"/>
      </xdr:nvSpPr>
      <xdr:spPr>
        <a:xfrm>
          <a:off x="18000435" y="1973942"/>
          <a:ext cx="2534104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766B107E-1E42-4E33-A7FD-53081539D181}" type="TxLink">
            <a:rPr lang="en-US" sz="1600" b="0" i="0" u="none" strike="noStrike">
              <a:solidFill>
                <a:schemeClr val="bg2">
                  <a:lumMod val="75000"/>
                </a:schemeClr>
              </a:solidFill>
              <a:latin typeface="Calibri"/>
              <a:cs typeface="Calibri"/>
            </a:rPr>
            <a:pPr algn="r"/>
            <a:t>03/07/2024 - 18/07/2024</a:t>
          </a:fld>
          <a:endParaRPr lang="en-AU" sz="16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92077</xdr:colOff>
      <xdr:row>3</xdr:row>
      <xdr:rowOff>73025</xdr:rowOff>
    </xdr:from>
    <xdr:to>
      <xdr:col>2</xdr:col>
      <xdr:colOff>2562225</xdr:colOff>
      <xdr:row>3</xdr:row>
      <xdr:rowOff>609600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B72724F5-B0C7-8E89-A3F4-3780DCCE66DD}"/>
            </a:ext>
          </a:extLst>
        </xdr:cNvPr>
        <xdr:cNvGrpSpPr/>
      </xdr:nvGrpSpPr>
      <xdr:grpSpPr>
        <a:xfrm>
          <a:off x="872220" y="2467882"/>
          <a:ext cx="2470148" cy="536575"/>
          <a:chOff x="1920877" y="1854200"/>
          <a:chExt cx="2470148" cy="536575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A5271976-F6BA-4FCD-BAB1-0D404C41AB9E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Burnup</a:t>
            </a:r>
            <a:r>
              <a:rPr lang="en-US" sz="1600" b="1" i="0" u="none" strike="noStrike" baseline="0">
                <a:solidFill>
                  <a:schemeClr val="tx1"/>
                </a:solidFill>
                <a:latin typeface="Calibri"/>
                <a:cs typeface="Calibri"/>
              </a:rPr>
              <a:t> Chart</a:t>
            </a:r>
            <a:endParaRPr lang="en-US" sz="16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22941541-F7CD-4C74-8D3E-9C61D0980B2E}"/>
              </a:ext>
            </a:extLst>
          </xdr:cNvPr>
          <xdr:cNvSpPr txBox="1"/>
        </xdr:nvSpPr>
        <xdr:spPr>
          <a:xfrm>
            <a:off x="1933576" y="2101850"/>
            <a:ext cx="2457449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sprint workload delivery</a:t>
            </a:r>
          </a:p>
        </xdr:txBody>
      </xdr:sp>
    </xdr:grpSp>
    <xdr:clientData/>
  </xdr:twoCellAnchor>
  <xdr:twoCellAnchor>
    <xdr:from>
      <xdr:col>2</xdr:col>
      <xdr:colOff>66677</xdr:colOff>
      <xdr:row>4</xdr:row>
      <xdr:rowOff>76200</xdr:rowOff>
    </xdr:from>
    <xdr:to>
      <xdr:col>2</xdr:col>
      <xdr:colOff>2743199</xdr:colOff>
      <xdr:row>4</xdr:row>
      <xdr:rowOff>606425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27EF36CE-FAA8-48F1-868B-CF43D9D935EC}"/>
            </a:ext>
          </a:extLst>
        </xdr:cNvPr>
        <xdr:cNvGrpSpPr/>
      </xdr:nvGrpSpPr>
      <xdr:grpSpPr>
        <a:xfrm>
          <a:off x="846820" y="5555343"/>
          <a:ext cx="2676522" cy="530225"/>
          <a:chOff x="1920877" y="1854200"/>
          <a:chExt cx="2679967" cy="536575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BB066150-3331-2B96-173C-60DA70611FF7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Sprint</a:t>
            </a:r>
            <a:r>
              <a:rPr lang="en-US" sz="1600" b="1" i="0" u="none" strike="noStrike" baseline="0">
                <a:solidFill>
                  <a:schemeClr val="tx1"/>
                </a:solidFill>
                <a:latin typeface="Calibri"/>
                <a:cs typeface="Calibri"/>
              </a:rPr>
              <a:t> Velocity Chart</a:t>
            </a:r>
            <a:endParaRPr lang="en-US" sz="16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85AF4F6-5022-CEA7-6FFE-33BE5A8AB316}"/>
              </a:ext>
            </a:extLst>
          </xdr:cNvPr>
          <xdr:cNvSpPr txBox="1"/>
        </xdr:nvSpPr>
        <xdr:spPr>
          <a:xfrm>
            <a:off x="1933576" y="2101850"/>
            <a:ext cx="2667268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sprint on sprint performance consistency</a:t>
            </a:r>
          </a:p>
        </xdr:txBody>
      </xdr:sp>
    </xdr:grpSp>
    <xdr:clientData/>
  </xdr:twoCellAnchor>
  <xdr:twoCellAnchor>
    <xdr:from>
      <xdr:col>0</xdr:col>
      <xdr:colOff>486226</xdr:colOff>
      <xdr:row>9</xdr:row>
      <xdr:rowOff>63952</xdr:rowOff>
    </xdr:from>
    <xdr:to>
      <xdr:col>2</xdr:col>
      <xdr:colOff>5799817</xdr:colOff>
      <xdr:row>14</xdr:row>
      <xdr:rowOff>2190749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4E44559-214C-4534-B2D5-32B239F9A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63501</xdr:colOff>
      <xdr:row>5</xdr:row>
      <xdr:rowOff>82551</xdr:rowOff>
    </xdr:from>
    <xdr:to>
      <xdr:col>2</xdr:col>
      <xdr:colOff>3305174</xdr:colOff>
      <xdr:row>7</xdr:row>
      <xdr:rowOff>166917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DE0236A6-EDB2-41BA-A385-53C49FB617F5}"/>
            </a:ext>
          </a:extLst>
        </xdr:cNvPr>
        <xdr:cNvGrpSpPr/>
      </xdr:nvGrpSpPr>
      <xdr:grpSpPr>
        <a:xfrm>
          <a:off x="843644" y="8428265"/>
          <a:ext cx="3241673" cy="755652"/>
          <a:chOff x="1920876" y="1854200"/>
          <a:chExt cx="3238163" cy="433685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FABAFAC6-2C37-9812-76A4-E9F276042AF0}"/>
              </a:ext>
            </a:extLst>
          </xdr:cNvPr>
          <xdr:cNvSpPr txBox="1"/>
        </xdr:nvSpPr>
        <xdr:spPr>
          <a:xfrm>
            <a:off x="1920876" y="1854200"/>
            <a:ext cx="323816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Delivery Allocation</a:t>
            </a:r>
            <a:r>
              <a:rPr lang="en-US" sz="1600" b="1" i="0" u="none" strike="noStrike" baseline="0">
                <a:solidFill>
                  <a:schemeClr val="tx1"/>
                </a:solidFill>
                <a:latin typeface="Calibri"/>
                <a:cs typeface="Calibri"/>
              </a:rPr>
              <a:t> | outcomes</a:t>
            </a:r>
            <a:endParaRPr lang="en-US" sz="16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77996884-030E-4552-DE3E-F0D9AEFE5AFB}"/>
              </a:ext>
            </a:extLst>
          </xdr:cNvPr>
          <xdr:cNvSpPr txBox="1"/>
        </xdr:nvSpPr>
        <xdr:spPr>
          <a:xfrm>
            <a:off x="1933576" y="1998960"/>
            <a:ext cx="3070057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where the effort was focused (completed work)</a:t>
            </a:r>
          </a:p>
        </xdr:txBody>
      </xdr:sp>
    </xdr:grpSp>
    <xdr:clientData/>
  </xdr:twoCellAnchor>
  <xdr:twoCellAnchor>
    <xdr:from>
      <xdr:col>3</xdr:col>
      <xdr:colOff>384824</xdr:colOff>
      <xdr:row>3</xdr:row>
      <xdr:rowOff>224892</xdr:rowOff>
    </xdr:from>
    <xdr:to>
      <xdr:col>4</xdr:col>
      <xdr:colOff>2197343</xdr:colOff>
      <xdr:row>3</xdr:row>
      <xdr:rowOff>2475966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0E4B76B-FFD4-47D3-866A-72A737699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131989</xdr:colOff>
      <xdr:row>3</xdr:row>
      <xdr:rowOff>2138589</xdr:rowOff>
    </xdr:from>
    <xdr:to>
      <xdr:col>4</xdr:col>
      <xdr:colOff>2231572</xdr:colOff>
      <xdr:row>4</xdr:row>
      <xdr:rowOff>17235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724F456-4A16-464D-8ED6-656F2B1D5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4397377</xdr:colOff>
      <xdr:row>3</xdr:row>
      <xdr:rowOff>1435100</xdr:rowOff>
    </xdr:from>
    <xdr:to>
      <xdr:col>3</xdr:col>
      <xdr:colOff>4914901</xdr:colOff>
      <xdr:row>3</xdr:row>
      <xdr:rowOff>1819275</xdr:rowOff>
    </xdr:to>
    <xdr:sp macro="" textlink="'Sprint Summary | data'!J16">
      <xdr:nvSpPr>
        <xdr:cNvPr id="27" name="TextBox 26">
          <a:extLst>
            <a:ext uri="{FF2B5EF4-FFF2-40B4-BE49-F238E27FC236}">
              <a16:creationId xmlns:a16="http://schemas.microsoft.com/office/drawing/2014/main" id="{D2032DEF-1697-4350-8D6B-6188CE2D4F11}"/>
            </a:ext>
          </a:extLst>
        </xdr:cNvPr>
        <xdr:cNvSpPr txBox="1"/>
      </xdr:nvSpPr>
      <xdr:spPr>
        <a:xfrm>
          <a:off x="10531477" y="3216275"/>
          <a:ext cx="517524" cy="384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7C2B4C54-F4E3-4FCB-8A1F-28DF014702F0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79.5</a:t>
          </a:fld>
          <a:endParaRPr lang="en-AU" sz="18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4381502</xdr:colOff>
      <xdr:row>3</xdr:row>
      <xdr:rowOff>2238375</xdr:rowOff>
    </xdr:from>
    <xdr:to>
      <xdr:col>3</xdr:col>
      <xdr:colOff>4892676</xdr:colOff>
      <xdr:row>3</xdr:row>
      <xdr:rowOff>2616200</xdr:rowOff>
    </xdr:to>
    <xdr:sp macro="" textlink="'Sprint Summary | data'!J16">
      <xdr:nvSpPr>
        <xdr:cNvPr id="28" name="TextBox 27">
          <a:extLst>
            <a:ext uri="{FF2B5EF4-FFF2-40B4-BE49-F238E27FC236}">
              <a16:creationId xmlns:a16="http://schemas.microsoft.com/office/drawing/2014/main" id="{7DBD0B75-5778-4698-B57A-91B8D67F1B98}"/>
            </a:ext>
          </a:extLst>
        </xdr:cNvPr>
        <xdr:cNvSpPr txBox="1"/>
      </xdr:nvSpPr>
      <xdr:spPr>
        <a:xfrm>
          <a:off x="10515602" y="4019550"/>
          <a:ext cx="511174" cy="377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7C2B4C54-F4E3-4FCB-8A1F-28DF014702F0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79.5</a:t>
          </a:fld>
          <a:endParaRPr lang="en-AU" sz="18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66677</xdr:colOff>
      <xdr:row>3</xdr:row>
      <xdr:rowOff>82550</xdr:rowOff>
    </xdr:from>
    <xdr:to>
      <xdr:col>3</xdr:col>
      <xdr:colOff>2533650</xdr:colOff>
      <xdr:row>3</xdr:row>
      <xdr:rowOff>619125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E51AE821-152B-44FE-B16E-16984557C3A0}"/>
            </a:ext>
          </a:extLst>
        </xdr:cNvPr>
        <xdr:cNvGrpSpPr/>
      </xdr:nvGrpSpPr>
      <xdr:grpSpPr>
        <a:xfrm>
          <a:off x="7940677" y="2477407"/>
          <a:ext cx="2466973" cy="536575"/>
          <a:chOff x="1920877" y="1854200"/>
          <a:chExt cx="2470148" cy="536575"/>
        </a:xfrm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5928ACD-336D-1AF6-437A-BC1BD0DC3B36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Sprint Completion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1D36F96-BA51-3BF1-7155-D85AA3EAD7C5}"/>
              </a:ext>
            </a:extLst>
          </xdr:cNvPr>
          <xdr:cNvSpPr txBox="1"/>
        </xdr:nvSpPr>
        <xdr:spPr>
          <a:xfrm>
            <a:off x="1933576" y="2101850"/>
            <a:ext cx="2457449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story</a:t>
            </a:r>
            <a:r>
              <a:rPr lang="en-US" sz="1100" b="0" i="1" u="none" strike="noStrike" baseline="0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 points delivered</a:t>
            </a:r>
            <a:endParaRPr lang="en-US" sz="1100" b="0" i="1" u="none" strike="noStrike">
              <a:solidFill>
                <a:schemeClr val="bg2">
                  <a:lumMod val="50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3</xdr:col>
      <xdr:colOff>82552</xdr:colOff>
      <xdr:row>4</xdr:row>
      <xdr:rowOff>95250</xdr:rowOff>
    </xdr:from>
    <xdr:to>
      <xdr:col>3</xdr:col>
      <xdr:colOff>2438400</xdr:colOff>
      <xdr:row>4</xdr:row>
      <xdr:rowOff>625475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9770A3E4-1A9A-445D-9CFA-6ABFEE9DD188}"/>
            </a:ext>
          </a:extLst>
        </xdr:cNvPr>
        <xdr:cNvGrpSpPr/>
      </xdr:nvGrpSpPr>
      <xdr:grpSpPr>
        <a:xfrm>
          <a:off x="7956552" y="5574393"/>
          <a:ext cx="2355848" cy="530225"/>
          <a:chOff x="1920877" y="1854200"/>
          <a:chExt cx="2340804" cy="536575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C8A17BD-A5CF-CB60-D57B-A032E5E50689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Work Item Granularity</a:t>
            </a: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302F153C-C1CA-73B7-EB51-2B269B74DB03}"/>
              </a:ext>
            </a:extLst>
          </xdr:cNvPr>
          <xdr:cNvSpPr txBox="1"/>
        </xdr:nvSpPr>
        <xdr:spPr>
          <a:xfrm>
            <a:off x="1933576" y="2101850"/>
            <a:ext cx="2328105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work item to story point ratio</a:t>
            </a:r>
          </a:p>
        </xdr:txBody>
      </xdr:sp>
    </xdr:grpSp>
    <xdr:clientData/>
  </xdr:twoCellAnchor>
  <xdr:twoCellAnchor>
    <xdr:from>
      <xdr:col>3</xdr:col>
      <xdr:colOff>183040</xdr:colOff>
      <xdr:row>4</xdr:row>
      <xdr:rowOff>657225</xdr:rowOff>
    </xdr:from>
    <xdr:to>
      <xdr:col>3</xdr:col>
      <xdr:colOff>2362826</xdr:colOff>
      <xdr:row>4</xdr:row>
      <xdr:rowOff>1558925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955231BC-2EB0-BC63-D8C8-C18A9F95B500}"/>
            </a:ext>
          </a:extLst>
        </xdr:cNvPr>
        <xdr:cNvGrpSpPr/>
      </xdr:nvGrpSpPr>
      <xdr:grpSpPr>
        <a:xfrm>
          <a:off x="8057040" y="6136368"/>
          <a:ext cx="2179786" cy="901700"/>
          <a:chOff x="6190137" y="5534025"/>
          <a:chExt cx="2182604" cy="901700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C9463551-F26C-4659-B961-75BEEEEA213C}"/>
              </a:ext>
            </a:extLst>
          </xdr:cNvPr>
          <xdr:cNvGrpSpPr/>
        </xdr:nvGrpSpPr>
        <xdr:grpSpPr>
          <a:xfrm>
            <a:off x="6378577" y="5534025"/>
            <a:ext cx="1990334" cy="901700"/>
            <a:chOff x="10071100" y="12122150"/>
            <a:chExt cx="1987550" cy="920750"/>
          </a:xfrm>
        </xdr:grpSpPr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C45974E1-5B80-2EEC-8B7D-07173CC5D662}"/>
                </a:ext>
              </a:extLst>
            </xdr:cNvPr>
            <xdr:cNvSpPr/>
          </xdr:nvSpPr>
          <xdr:spPr>
            <a:xfrm>
              <a:off x="10071100" y="12160250"/>
              <a:ext cx="1987550" cy="8826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 b="0"/>
            </a:p>
          </xdr:txBody>
        </xdr:sp>
        <xdr:sp macro="" textlink="'Sprint Summary | data'!J40">
          <xdr:nvSpPr>
            <xdr:cNvPr id="37" name="TextBox 36">
              <a:extLst>
                <a:ext uri="{FF2B5EF4-FFF2-40B4-BE49-F238E27FC236}">
                  <a16:creationId xmlns:a16="http://schemas.microsoft.com/office/drawing/2014/main" id="{AEAED785-FB3C-4A4E-B91B-463CCDF7A2A1}"/>
                </a:ext>
              </a:extLst>
            </xdr:cNvPr>
            <xdr:cNvSpPr txBox="1"/>
          </xdr:nvSpPr>
          <xdr:spPr>
            <a:xfrm>
              <a:off x="10096500" y="12160250"/>
              <a:ext cx="995319" cy="861583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/>
              <a:fld id="{57AA9987-DDD1-4A9F-93DB-2F54DD117971}" type="TxLink">
                <a:rPr lang="en-US" sz="4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/>
                <a:t>1.2</a:t>
              </a:fld>
              <a:endParaRPr lang="en-AU" sz="4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7C8DB79F-B4A6-0160-92BB-8A7811720FAE}"/>
                </a:ext>
              </a:extLst>
            </xdr:cNvPr>
            <xdr:cNvSpPr txBox="1"/>
          </xdr:nvSpPr>
          <xdr:spPr>
            <a:xfrm>
              <a:off x="11017240" y="12122150"/>
              <a:ext cx="350512" cy="85856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en-US" sz="48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t>:</a:t>
              </a:r>
            </a:p>
          </xdr:txBody>
        </xdr:sp>
        <xdr:sp macro="" textlink="'Sprint Summary | data'!J41">
          <xdr:nvSpPr>
            <xdr:cNvPr id="39" name="TextBox 38">
              <a:extLst>
                <a:ext uri="{FF2B5EF4-FFF2-40B4-BE49-F238E27FC236}">
                  <a16:creationId xmlns:a16="http://schemas.microsoft.com/office/drawing/2014/main" id="{C9F054D7-807C-37FE-CD1B-5F26A675D221}"/>
                </a:ext>
              </a:extLst>
            </xdr:cNvPr>
            <xdr:cNvSpPr txBox="1"/>
          </xdr:nvSpPr>
          <xdr:spPr>
            <a:xfrm>
              <a:off x="11347450" y="12166600"/>
              <a:ext cx="504877" cy="861583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/>
              <a:fld id="{B5B07F2D-4E76-485F-B6DA-A8789D13460B}" type="TxLink">
                <a:rPr lang="en-US" sz="4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/>
                <a:t>1</a:t>
              </a:fld>
              <a:endParaRPr lang="en-US" sz="4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</xdr:grp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8C5B0AE3-1D5B-FDDC-9717-B2A3D4BD9C65}"/>
              </a:ext>
            </a:extLst>
          </xdr:cNvPr>
          <xdr:cNvSpPr txBox="1"/>
        </xdr:nvSpPr>
        <xdr:spPr>
          <a:xfrm rot="16200000">
            <a:off x="6046679" y="5883104"/>
            <a:ext cx="551818" cy="2649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AU" sz="1100" b="0">
                <a:solidFill>
                  <a:schemeClr val="bg2">
                    <a:lumMod val="75000"/>
                  </a:schemeClr>
                </a:solidFill>
              </a:rPr>
              <a:t>points</a:t>
            </a: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EABCAB06-CC27-4F0C-86E1-B37F243B3A75}"/>
              </a:ext>
            </a:extLst>
          </xdr:cNvPr>
          <xdr:cNvSpPr txBox="1"/>
        </xdr:nvSpPr>
        <xdr:spPr>
          <a:xfrm rot="16200000">
            <a:off x="7985123" y="5883106"/>
            <a:ext cx="510333" cy="26490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AU" sz="1100" b="0">
                <a:solidFill>
                  <a:schemeClr val="bg2">
                    <a:lumMod val="75000"/>
                  </a:schemeClr>
                </a:solidFill>
              </a:rPr>
              <a:t>items</a:t>
            </a:r>
          </a:p>
        </xdr:txBody>
      </xdr:sp>
    </xdr:grpSp>
    <xdr:clientData/>
  </xdr:twoCellAnchor>
  <xdr:twoCellAnchor>
    <xdr:from>
      <xdr:col>4</xdr:col>
      <xdr:colOff>92077</xdr:colOff>
      <xdr:row>4</xdr:row>
      <xdr:rowOff>73025</xdr:rowOff>
    </xdr:from>
    <xdr:to>
      <xdr:col>4</xdr:col>
      <xdr:colOff>2495549</xdr:colOff>
      <xdr:row>4</xdr:row>
      <xdr:rowOff>609600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390BA8C7-834E-49E6-B900-38CB9DEBBAD9}"/>
            </a:ext>
          </a:extLst>
        </xdr:cNvPr>
        <xdr:cNvGrpSpPr/>
      </xdr:nvGrpSpPr>
      <xdr:grpSpPr>
        <a:xfrm>
          <a:off x="10760077" y="5552168"/>
          <a:ext cx="2403472" cy="536575"/>
          <a:chOff x="1920877" y="1854200"/>
          <a:chExt cx="2394604" cy="536575"/>
        </a:xfrm>
      </xdr:grpSpPr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FE9E2076-B0A3-E79B-CD13-D65528160367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Unestimated Work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6A7D1984-9D85-364B-9B8E-3184EDED3C09}"/>
              </a:ext>
            </a:extLst>
          </xdr:cNvPr>
          <xdr:cNvSpPr txBox="1"/>
        </xdr:nvSpPr>
        <xdr:spPr>
          <a:xfrm>
            <a:off x="1933575" y="2101850"/>
            <a:ext cx="2381906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percentage of unestimated work items</a:t>
            </a:r>
          </a:p>
        </xdr:txBody>
      </xdr:sp>
    </xdr:grpSp>
    <xdr:clientData/>
  </xdr:twoCellAnchor>
  <xdr:twoCellAnchor>
    <xdr:from>
      <xdr:col>4</xdr:col>
      <xdr:colOff>495300</xdr:colOff>
      <xdr:row>4</xdr:row>
      <xdr:rowOff>714375</xdr:rowOff>
    </xdr:from>
    <xdr:to>
      <xdr:col>4</xdr:col>
      <xdr:colOff>1882775</xdr:colOff>
      <xdr:row>4</xdr:row>
      <xdr:rowOff>1551782</xdr:rowOff>
    </xdr:to>
    <xdr:sp macro="" textlink="'Sprint Summary | data'!J50">
      <xdr:nvSpPr>
        <xdr:cNvPr id="46" name="TextBox 45">
          <a:extLst>
            <a:ext uri="{FF2B5EF4-FFF2-40B4-BE49-F238E27FC236}">
              <a16:creationId xmlns:a16="http://schemas.microsoft.com/office/drawing/2014/main" id="{3B60FEAC-6948-4806-A24A-5AFF04DB8022}"/>
            </a:ext>
          </a:extLst>
        </xdr:cNvPr>
        <xdr:cNvSpPr txBox="1"/>
      </xdr:nvSpPr>
      <xdr:spPr>
        <a:xfrm>
          <a:off x="9191625" y="5591175"/>
          <a:ext cx="1387475" cy="83740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l"/>
          <a:fld id="{341120F6-609F-4ECE-B583-DE8602FD3FB6}" type="TxLink">
            <a:rPr lang="en-US" sz="4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13</a:t>
          </a:fld>
          <a:endParaRPr lang="en-AU" sz="4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123826</xdr:colOff>
      <xdr:row>5</xdr:row>
      <xdr:rowOff>111126</xdr:rowOff>
    </xdr:from>
    <xdr:to>
      <xdr:col>4</xdr:col>
      <xdr:colOff>917574</xdr:colOff>
      <xdr:row>7</xdr:row>
      <xdr:rowOff>216356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7ED7796D-ECFA-4F1D-B219-7076C6172C0D}"/>
            </a:ext>
          </a:extLst>
        </xdr:cNvPr>
        <xdr:cNvGrpSpPr/>
      </xdr:nvGrpSpPr>
      <xdr:grpSpPr>
        <a:xfrm>
          <a:off x="7997826" y="8456840"/>
          <a:ext cx="3587748" cy="776516"/>
          <a:chOff x="1920876" y="1854200"/>
          <a:chExt cx="3354349" cy="441077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61A8F8E9-FBF8-306D-9141-FD2266A4533C}"/>
              </a:ext>
            </a:extLst>
          </xdr:cNvPr>
          <xdr:cNvSpPr txBox="1"/>
        </xdr:nvSpPr>
        <xdr:spPr>
          <a:xfrm>
            <a:off x="1920876" y="1854200"/>
            <a:ext cx="322131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Emergent Work | planned vs actual</a:t>
            </a: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AA2C6193-C585-FB29-6BD7-1A6DA6095C0F}"/>
              </a:ext>
            </a:extLst>
          </xdr:cNvPr>
          <xdr:cNvSpPr txBox="1"/>
        </xdr:nvSpPr>
        <xdr:spPr>
          <a:xfrm>
            <a:off x="1933574" y="2006352"/>
            <a:ext cx="3341651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supported BAU / improvement work (completed)</a:t>
            </a:r>
          </a:p>
        </xdr:txBody>
      </xdr:sp>
    </xdr:grpSp>
    <xdr:clientData/>
  </xdr:twoCellAnchor>
  <xdr:twoCellAnchor>
    <xdr:from>
      <xdr:col>3</xdr:col>
      <xdr:colOff>53975</xdr:colOff>
      <xdr:row>14</xdr:row>
      <xdr:rowOff>127000</xdr:rowOff>
    </xdr:from>
    <xdr:to>
      <xdr:col>4</xdr:col>
      <xdr:colOff>863598</xdr:colOff>
      <xdr:row>14</xdr:row>
      <xdr:rowOff>660400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4C88A12F-EDB3-4572-A26C-4F5E6D743408}"/>
            </a:ext>
          </a:extLst>
        </xdr:cNvPr>
        <xdr:cNvGrpSpPr/>
      </xdr:nvGrpSpPr>
      <xdr:grpSpPr>
        <a:xfrm>
          <a:off x="7927975" y="11303000"/>
          <a:ext cx="3603623" cy="533400"/>
          <a:chOff x="1920876" y="1854200"/>
          <a:chExt cx="3354349" cy="536575"/>
        </a:xfrm>
      </xdr:grpSpPr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68DEF8CE-A7A3-A858-9DDC-83C1B8031CCF}"/>
              </a:ext>
            </a:extLst>
          </xdr:cNvPr>
          <xdr:cNvSpPr txBox="1"/>
        </xdr:nvSpPr>
        <xdr:spPr>
          <a:xfrm>
            <a:off x="1920876" y="1854200"/>
            <a:ext cx="322131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Emergent Work | work types</a:t>
            </a:r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67BC4F2E-DF1B-A001-2A53-C305BC8C83A0}"/>
              </a:ext>
            </a:extLst>
          </xdr:cNvPr>
          <xdr:cNvSpPr txBox="1"/>
        </xdr:nvSpPr>
        <xdr:spPr>
          <a:xfrm>
            <a:off x="1933574" y="2101850"/>
            <a:ext cx="3341651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supported BAU / improvement work (completed)</a:t>
            </a:r>
          </a:p>
        </xdr:txBody>
      </xdr:sp>
    </xdr:grpSp>
    <xdr:clientData/>
  </xdr:twoCellAnchor>
  <xdr:twoCellAnchor>
    <xdr:from>
      <xdr:col>3</xdr:col>
      <xdr:colOff>180976</xdr:colOff>
      <xdr:row>6</xdr:row>
      <xdr:rowOff>210910</xdr:rowOff>
    </xdr:from>
    <xdr:to>
      <xdr:col>4</xdr:col>
      <xdr:colOff>1790701</xdr:colOff>
      <xdr:row>13</xdr:row>
      <xdr:rowOff>259726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3B5E1C40-E938-C2D0-51AF-0BF43D0EE9A0}"/>
            </a:ext>
          </a:extLst>
        </xdr:cNvPr>
        <xdr:cNvGrpSpPr/>
      </xdr:nvGrpSpPr>
      <xdr:grpSpPr>
        <a:xfrm>
          <a:off x="8054976" y="8883196"/>
          <a:ext cx="4403725" cy="2026387"/>
          <a:chOff x="5203826" y="7785100"/>
          <a:chExt cx="4171950" cy="1466850"/>
        </a:xfrm>
      </xdr:grpSpPr>
      <xdr:graphicFrame macro="">
        <xdr:nvGraphicFramePr>
          <xdr:cNvPr id="50" name="Chart 49">
            <a:extLst>
              <a:ext uri="{FF2B5EF4-FFF2-40B4-BE49-F238E27FC236}">
                <a16:creationId xmlns:a16="http://schemas.microsoft.com/office/drawing/2014/main" id="{1E2B53FD-336F-4552-B668-2294AF207A4A}"/>
              </a:ext>
            </a:extLst>
          </xdr:cNvPr>
          <xdr:cNvGraphicFramePr>
            <a:graphicFrameLocks/>
          </xdr:cNvGraphicFramePr>
        </xdr:nvGraphicFramePr>
        <xdr:xfrm>
          <a:off x="5203826" y="7785100"/>
          <a:ext cx="4171950" cy="1466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'Sprint Summary | data'!K60">
        <xdr:nvSpPr>
          <xdr:cNvPr id="51" name="TextBox 50">
            <a:extLst>
              <a:ext uri="{FF2B5EF4-FFF2-40B4-BE49-F238E27FC236}">
                <a16:creationId xmlns:a16="http://schemas.microsoft.com/office/drawing/2014/main" id="{4B21BA24-0D1E-43F7-9570-F9B52A603B57}"/>
              </a:ext>
            </a:extLst>
          </xdr:cNvPr>
          <xdr:cNvSpPr txBox="1"/>
        </xdr:nvSpPr>
        <xdr:spPr>
          <a:xfrm>
            <a:off x="6378636" y="8174038"/>
            <a:ext cx="877792" cy="30465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l"/>
            <a:fld id="{1835D786-65E2-4E93-BC95-9D6D32919267}" type="TxLink">
              <a:rPr lang="en-US" sz="28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l"/>
              <a:t>30%</a:t>
            </a:fld>
            <a:endParaRPr lang="en-AU" sz="2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5</xdr:col>
      <xdr:colOff>88900</xdr:colOff>
      <xdr:row>14</xdr:row>
      <xdr:rowOff>92075</xdr:rowOff>
    </xdr:from>
    <xdr:to>
      <xdr:col>11</xdr:col>
      <xdr:colOff>403223</xdr:colOff>
      <xdr:row>14</xdr:row>
      <xdr:rowOff>654050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1B6E0C88-42C5-43E8-A4ED-F97CD2A4EE49}"/>
            </a:ext>
          </a:extLst>
        </xdr:cNvPr>
        <xdr:cNvGrpSpPr/>
      </xdr:nvGrpSpPr>
      <xdr:grpSpPr>
        <a:xfrm>
          <a:off x="13532757" y="11268075"/>
          <a:ext cx="6392180" cy="561975"/>
          <a:chOff x="1920876" y="1854200"/>
          <a:chExt cx="3354349" cy="536575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2A65ACC4-4FC8-6E78-A48B-38D639857285}"/>
              </a:ext>
            </a:extLst>
          </xdr:cNvPr>
          <xdr:cNvSpPr txBox="1"/>
        </xdr:nvSpPr>
        <xdr:spPr>
          <a:xfrm>
            <a:off x="1920876" y="1854200"/>
            <a:ext cx="322131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Delivery</a:t>
            </a:r>
            <a:r>
              <a:rPr lang="en-US" sz="1600" b="1" i="0" u="none" strike="noStrike" baseline="0">
                <a:solidFill>
                  <a:schemeClr val="tx1"/>
                </a:solidFill>
                <a:latin typeface="Calibri"/>
                <a:cs typeface="Calibri"/>
              </a:rPr>
              <a:t> Allocation | streams</a:t>
            </a:r>
            <a:endParaRPr lang="en-US" sz="16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6B06525C-9C13-CFC0-CA14-C1C6EF66B957}"/>
              </a:ext>
            </a:extLst>
          </xdr:cNvPr>
          <xdr:cNvSpPr txBox="1"/>
        </xdr:nvSpPr>
        <xdr:spPr>
          <a:xfrm>
            <a:off x="1933574" y="2101850"/>
            <a:ext cx="3341651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stream demand</a:t>
            </a:r>
          </a:p>
        </xdr:txBody>
      </xdr:sp>
    </xdr:grpSp>
    <xdr:clientData/>
  </xdr:twoCellAnchor>
  <xdr:twoCellAnchor>
    <xdr:from>
      <xdr:col>4</xdr:col>
      <xdr:colOff>2540001</xdr:colOff>
      <xdr:row>14</xdr:row>
      <xdr:rowOff>542925</xdr:rowOff>
    </xdr:from>
    <xdr:to>
      <xdr:col>11</xdr:col>
      <xdr:colOff>1244600</xdr:colOff>
      <xdr:row>14</xdr:row>
      <xdr:rowOff>2997200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F603EB3E-8374-4A30-A513-1DAA79E23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88414</xdr:colOff>
      <xdr:row>3</xdr:row>
      <xdr:rowOff>76567</xdr:rowOff>
    </xdr:from>
    <xdr:to>
      <xdr:col>11</xdr:col>
      <xdr:colOff>457933</xdr:colOff>
      <xdr:row>3</xdr:row>
      <xdr:rowOff>619492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A1E6BEEA-0324-4367-803D-9F0C494B5AAD}"/>
            </a:ext>
          </a:extLst>
        </xdr:cNvPr>
        <xdr:cNvGrpSpPr/>
      </xdr:nvGrpSpPr>
      <xdr:grpSpPr>
        <a:xfrm>
          <a:off x="18049843" y="2471424"/>
          <a:ext cx="1929804" cy="542925"/>
          <a:chOff x="1920877" y="1854200"/>
          <a:chExt cx="1808134" cy="536575"/>
        </a:xfrm>
      </xdr:grpSpPr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900AD157-36F5-BD95-FE60-5464B9C00BDB}"/>
              </a:ext>
            </a:extLst>
          </xdr:cNvPr>
          <xdr:cNvSpPr txBox="1"/>
        </xdr:nvSpPr>
        <xdr:spPr>
          <a:xfrm>
            <a:off x="1920877" y="1854200"/>
            <a:ext cx="1808134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Throughput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F224CDB-47CC-F4D7-F6A6-829C3535301F}"/>
              </a:ext>
            </a:extLst>
          </xdr:cNvPr>
          <xdr:cNvSpPr txBox="1"/>
        </xdr:nvSpPr>
        <xdr:spPr>
          <a:xfrm>
            <a:off x="1933576" y="2101850"/>
            <a:ext cx="1766119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no. of items</a:t>
            </a:r>
          </a:p>
        </xdr:txBody>
      </xdr:sp>
    </xdr:grpSp>
    <xdr:clientData/>
  </xdr:twoCellAnchor>
  <xdr:twoCellAnchor>
    <xdr:from>
      <xdr:col>6</xdr:col>
      <xdr:colOff>1605938</xdr:colOff>
      <xdr:row>3</xdr:row>
      <xdr:rowOff>77298</xdr:rowOff>
    </xdr:from>
    <xdr:to>
      <xdr:col>8</xdr:col>
      <xdr:colOff>696056</xdr:colOff>
      <xdr:row>3</xdr:row>
      <xdr:rowOff>620223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5B3754C-DC6E-43F8-BAE6-FA37B7B6A120}"/>
            </a:ext>
          </a:extLst>
        </xdr:cNvPr>
        <xdr:cNvGrpSpPr/>
      </xdr:nvGrpSpPr>
      <xdr:grpSpPr>
        <a:xfrm>
          <a:off x="15394509" y="2472155"/>
          <a:ext cx="2482833" cy="542925"/>
          <a:chOff x="2623745" y="1854200"/>
          <a:chExt cx="1815534" cy="536575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F5D31E8D-C72D-7F3D-6F97-AD7C7348E214}"/>
              </a:ext>
            </a:extLst>
          </xdr:cNvPr>
          <xdr:cNvSpPr txBox="1"/>
        </xdr:nvSpPr>
        <xdr:spPr>
          <a:xfrm>
            <a:off x="2675674" y="1854200"/>
            <a:ext cx="176360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Estimate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F8AEC07-1F93-98FC-D8A6-E8D8BD0C2D0C}"/>
              </a:ext>
            </a:extLst>
          </xdr:cNvPr>
          <xdr:cNvSpPr txBox="1"/>
        </xdr:nvSpPr>
        <xdr:spPr>
          <a:xfrm>
            <a:off x="2623745" y="2101850"/>
            <a:ext cx="1767280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story points</a:t>
            </a:r>
          </a:p>
        </xdr:txBody>
      </xdr:sp>
    </xdr:grpSp>
    <xdr:clientData/>
  </xdr:twoCellAnchor>
  <xdr:twoCellAnchor>
    <xdr:from>
      <xdr:col>2</xdr:col>
      <xdr:colOff>65768</xdr:colOff>
      <xdr:row>2</xdr:row>
      <xdr:rowOff>1197060</xdr:rowOff>
    </xdr:from>
    <xdr:to>
      <xdr:col>2</xdr:col>
      <xdr:colOff>1068345</xdr:colOff>
      <xdr:row>2</xdr:row>
      <xdr:rowOff>1647370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46318FF9-74BB-49F1-8B51-FED786CBF2EE}"/>
            </a:ext>
          </a:extLst>
        </xdr:cNvPr>
        <xdr:cNvSpPr txBox="1"/>
      </xdr:nvSpPr>
      <xdr:spPr>
        <a:xfrm>
          <a:off x="799450" y="1866384"/>
          <a:ext cx="1002577" cy="450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cs typeface="Calibri"/>
            </a:rPr>
            <a:t>squad:</a:t>
          </a:r>
        </a:p>
      </xdr:txBody>
    </xdr:sp>
    <xdr:clientData/>
  </xdr:twoCellAnchor>
  <xdr:twoCellAnchor>
    <xdr:from>
      <xdr:col>3</xdr:col>
      <xdr:colOff>2342634</xdr:colOff>
      <xdr:row>2</xdr:row>
      <xdr:rowOff>231689</xdr:rowOff>
    </xdr:from>
    <xdr:to>
      <xdr:col>4</xdr:col>
      <xdr:colOff>2548059</xdr:colOff>
      <xdr:row>2</xdr:row>
      <xdr:rowOff>1743783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50D6FBE6-91B3-6218-9661-A42CCB3D24C3}"/>
            </a:ext>
          </a:extLst>
        </xdr:cNvPr>
        <xdr:cNvSpPr/>
      </xdr:nvSpPr>
      <xdr:spPr>
        <a:xfrm>
          <a:off x="9585502" y="908593"/>
          <a:ext cx="2767988" cy="1512094"/>
        </a:xfrm>
        <a:prstGeom prst="rect">
          <a:avLst/>
        </a:prstGeom>
        <a:solidFill>
          <a:schemeClr val="bg1"/>
        </a:solidFill>
        <a:ln w="19050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2472534</xdr:colOff>
      <xdr:row>2</xdr:row>
      <xdr:rowOff>321470</xdr:rowOff>
    </xdr:from>
    <xdr:to>
      <xdr:col>4</xdr:col>
      <xdr:colOff>2376488</xdr:colOff>
      <xdr:row>2</xdr:row>
      <xdr:rowOff>858045</xdr:rowOff>
    </xdr:to>
    <xdr:grpSp>
      <xdr:nvGrpSpPr>
        <xdr:cNvPr id="162" name="Group 161">
          <a:extLst>
            <a:ext uri="{FF2B5EF4-FFF2-40B4-BE49-F238E27FC236}">
              <a16:creationId xmlns:a16="http://schemas.microsoft.com/office/drawing/2014/main" id="{FC207E79-D677-4AF4-B255-D09570985779}"/>
            </a:ext>
          </a:extLst>
        </xdr:cNvPr>
        <xdr:cNvGrpSpPr/>
      </xdr:nvGrpSpPr>
      <xdr:grpSpPr>
        <a:xfrm>
          <a:off x="10346534" y="974613"/>
          <a:ext cx="2697954" cy="536575"/>
          <a:chOff x="1920877" y="1854200"/>
          <a:chExt cx="2470148" cy="536575"/>
        </a:xfrm>
      </xdr:grpSpPr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1B511088-7803-DDE6-CEC7-29ABF814B109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Capacity Guide</a:t>
            </a:r>
          </a:p>
        </xdr:txBody>
      </xdr:sp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8178AA51-DE62-AAC3-EA77-74A8894EE5FC}"/>
              </a:ext>
            </a:extLst>
          </xdr:cNvPr>
          <xdr:cNvSpPr txBox="1"/>
        </xdr:nvSpPr>
        <xdr:spPr>
          <a:xfrm>
            <a:off x="1933576" y="2101850"/>
            <a:ext cx="2457449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calculated trend vs squad availability</a:t>
            </a:r>
          </a:p>
        </xdr:txBody>
      </xdr:sp>
    </xdr:grpSp>
    <xdr:clientData/>
  </xdr:twoCellAnchor>
  <xdr:twoCellAnchor>
    <xdr:from>
      <xdr:col>4</xdr:col>
      <xdr:colOff>217349</xdr:colOff>
      <xdr:row>2</xdr:row>
      <xdr:rowOff>866431</xdr:rowOff>
    </xdr:from>
    <xdr:to>
      <xdr:col>4</xdr:col>
      <xdr:colOff>1240769</xdr:colOff>
      <xdr:row>2</xdr:row>
      <xdr:rowOff>1194249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42D620A8-8904-89A7-0D60-90CF73F3211E}"/>
            </a:ext>
          </a:extLst>
        </xdr:cNvPr>
        <xdr:cNvSpPr txBox="1"/>
      </xdr:nvSpPr>
      <xdr:spPr>
        <a:xfrm>
          <a:off x="10015675" y="1545605"/>
          <a:ext cx="1023420" cy="327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AU" sz="2000">
              <a:solidFill>
                <a:schemeClr val="bg2">
                  <a:lumMod val="50000"/>
                </a:schemeClr>
              </a:solidFill>
            </a:rPr>
            <a:t>trend</a:t>
          </a:r>
        </a:p>
      </xdr:txBody>
    </xdr:sp>
    <xdr:clientData/>
  </xdr:twoCellAnchor>
  <xdr:twoCellAnchor>
    <xdr:from>
      <xdr:col>4</xdr:col>
      <xdr:colOff>231912</xdr:colOff>
      <xdr:row>2</xdr:row>
      <xdr:rowOff>1274419</xdr:rowOff>
    </xdr:from>
    <xdr:to>
      <xdr:col>4</xdr:col>
      <xdr:colOff>1252675</xdr:colOff>
      <xdr:row>2</xdr:row>
      <xdr:rowOff>1602237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37EFC22-1A69-4638-B9D9-D4F85C87905D}"/>
            </a:ext>
          </a:extLst>
        </xdr:cNvPr>
        <xdr:cNvSpPr txBox="1"/>
      </xdr:nvSpPr>
      <xdr:spPr>
        <a:xfrm>
          <a:off x="10030238" y="1953593"/>
          <a:ext cx="1020763" cy="327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AU" sz="2000" b="1">
              <a:solidFill>
                <a:schemeClr val="bg2">
                  <a:lumMod val="50000"/>
                </a:schemeClr>
              </a:solidFill>
            </a:rPr>
            <a:t>target</a:t>
          </a:r>
        </a:p>
      </xdr:txBody>
    </xdr:sp>
    <xdr:clientData/>
  </xdr:twoCellAnchor>
  <xdr:twoCellAnchor>
    <xdr:from>
      <xdr:col>4</xdr:col>
      <xdr:colOff>1210629</xdr:colOff>
      <xdr:row>2</xdr:row>
      <xdr:rowOff>830711</xdr:rowOff>
    </xdr:from>
    <xdr:to>
      <xdr:col>4</xdr:col>
      <xdr:colOff>2362498</xdr:colOff>
      <xdr:row>2</xdr:row>
      <xdr:rowOff>1256719</xdr:rowOff>
    </xdr:to>
    <xdr:sp macro="" textlink="'Sprint Summary | data'!N9">
      <xdr:nvSpPr>
        <xdr:cNvPr id="167" name="TextBox 166">
          <a:extLst>
            <a:ext uri="{FF2B5EF4-FFF2-40B4-BE49-F238E27FC236}">
              <a16:creationId xmlns:a16="http://schemas.microsoft.com/office/drawing/2014/main" id="{8B0B374A-BFFD-4562-B37C-FB9383F281A6}"/>
            </a:ext>
          </a:extLst>
        </xdr:cNvPr>
        <xdr:cNvSpPr txBox="1"/>
      </xdr:nvSpPr>
      <xdr:spPr>
        <a:xfrm>
          <a:off x="11008955" y="1509885"/>
          <a:ext cx="1151869" cy="42600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CB556686-0394-410C-9D71-0C6388A8B48E}" type="TxLink">
            <a:rPr lang="en-US" sz="2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50</a:t>
          </a:fld>
          <a:endParaRPr lang="en-AU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1347946</xdr:colOff>
      <xdr:row>2</xdr:row>
      <xdr:rowOff>1226793</xdr:rowOff>
    </xdr:from>
    <xdr:to>
      <xdr:col>4</xdr:col>
      <xdr:colOff>2220255</xdr:colOff>
      <xdr:row>2</xdr:row>
      <xdr:rowOff>1638388</xdr:rowOff>
    </xdr:to>
    <xdr:sp macro="" textlink="'Sprint Summary | data'!N10">
      <xdr:nvSpPr>
        <xdr:cNvPr id="168" name="TextBox 167">
          <a:extLst>
            <a:ext uri="{FF2B5EF4-FFF2-40B4-BE49-F238E27FC236}">
              <a16:creationId xmlns:a16="http://schemas.microsoft.com/office/drawing/2014/main" id="{FC68068F-D22D-415B-85E9-2B177B99BC9E}"/>
            </a:ext>
          </a:extLst>
        </xdr:cNvPr>
        <xdr:cNvSpPr txBox="1"/>
      </xdr:nvSpPr>
      <xdr:spPr>
        <a:xfrm>
          <a:off x="11146272" y="1905967"/>
          <a:ext cx="872309" cy="4115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08DABAAA-2B9B-42E6-B97B-510F4C60CE40}" type="TxLink">
            <a:rPr lang="en-US" sz="2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50</a:t>
          </a:fld>
          <a:endParaRPr lang="en-AU" sz="28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1621825</xdr:colOff>
      <xdr:row>2</xdr:row>
      <xdr:rowOff>1211864</xdr:rowOff>
    </xdr:from>
    <xdr:to>
      <xdr:col>7</xdr:col>
      <xdr:colOff>312092</xdr:colOff>
      <xdr:row>3</xdr:row>
      <xdr:rowOff>2761049</xdr:rowOff>
    </xdr:to>
    <xdr:grpSp>
      <xdr:nvGrpSpPr>
        <xdr:cNvPr id="183" name="Group 182">
          <a:extLst>
            <a:ext uri="{FF2B5EF4-FFF2-40B4-BE49-F238E27FC236}">
              <a16:creationId xmlns:a16="http://schemas.microsoft.com/office/drawing/2014/main" id="{9F8A17C7-EEC0-9CA4-BE52-6F6CB2A96A97}"/>
            </a:ext>
          </a:extLst>
        </xdr:cNvPr>
        <xdr:cNvGrpSpPr/>
      </xdr:nvGrpSpPr>
      <xdr:grpSpPr>
        <a:xfrm>
          <a:off x="9495825" y="1865007"/>
          <a:ext cx="7144838" cy="3290899"/>
          <a:chOff x="8855676" y="1884369"/>
          <a:chExt cx="6442159" cy="3287477"/>
        </a:xfrm>
      </xdr:grpSpPr>
      <xdr:sp macro="" textlink="">
        <xdr:nvSpPr>
          <xdr:cNvPr id="169" name="Oval 168">
            <a:extLst>
              <a:ext uri="{FF2B5EF4-FFF2-40B4-BE49-F238E27FC236}">
                <a16:creationId xmlns:a16="http://schemas.microsoft.com/office/drawing/2014/main" id="{8210520A-D96C-E0D2-3F6B-FEC7865A32E2}"/>
              </a:ext>
            </a:extLst>
          </xdr:cNvPr>
          <xdr:cNvSpPr/>
        </xdr:nvSpPr>
        <xdr:spPr>
          <a:xfrm>
            <a:off x="11060895" y="1884369"/>
            <a:ext cx="991115" cy="466554"/>
          </a:xfrm>
          <a:prstGeom prst="ellipse">
            <a:avLst/>
          </a:prstGeom>
          <a:noFill/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70" name="Oval 169">
            <a:extLst>
              <a:ext uri="{FF2B5EF4-FFF2-40B4-BE49-F238E27FC236}">
                <a16:creationId xmlns:a16="http://schemas.microsoft.com/office/drawing/2014/main" id="{79DC58AE-80F4-4108-9E2D-7FF8688FA098}"/>
              </a:ext>
            </a:extLst>
          </xdr:cNvPr>
          <xdr:cNvSpPr/>
        </xdr:nvSpPr>
        <xdr:spPr>
          <a:xfrm>
            <a:off x="13576386" y="4315797"/>
            <a:ext cx="1721449" cy="856049"/>
          </a:xfrm>
          <a:prstGeom prst="ellipse">
            <a:avLst/>
          </a:prstGeom>
          <a:noFill/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cxnSp macro="">
        <xdr:nvCxnSpPr>
          <xdr:cNvPr id="174" name="Connector: Curved 173">
            <a:extLst>
              <a:ext uri="{FF2B5EF4-FFF2-40B4-BE49-F238E27FC236}">
                <a16:creationId xmlns:a16="http://schemas.microsoft.com/office/drawing/2014/main" id="{1B1E8432-C094-46BF-DD8A-B9279F4BF340}"/>
              </a:ext>
            </a:extLst>
          </xdr:cNvPr>
          <xdr:cNvCxnSpPr>
            <a:stCxn id="169" idx="6"/>
            <a:endCxn id="170" idx="2"/>
          </xdr:cNvCxnSpPr>
        </xdr:nvCxnSpPr>
        <xdr:spPr>
          <a:xfrm>
            <a:off x="12052009" y="2117646"/>
            <a:ext cx="1524377" cy="2626176"/>
          </a:xfrm>
          <a:prstGeom prst="curvedConnector3">
            <a:avLst/>
          </a:prstGeom>
          <a:ln w="12700">
            <a:solidFill>
              <a:schemeClr val="bg2">
                <a:lumMod val="7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82" name="Freeform: Shape 181">
            <a:extLst>
              <a:ext uri="{FF2B5EF4-FFF2-40B4-BE49-F238E27FC236}">
                <a16:creationId xmlns:a16="http://schemas.microsoft.com/office/drawing/2014/main" id="{BB4F7246-8881-141C-8436-EB54545F4D9B}"/>
              </a:ext>
            </a:extLst>
          </xdr:cNvPr>
          <xdr:cNvSpPr/>
        </xdr:nvSpPr>
        <xdr:spPr>
          <a:xfrm>
            <a:off x="8855676" y="2320604"/>
            <a:ext cx="2455304" cy="913348"/>
          </a:xfrm>
          <a:custGeom>
            <a:avLst/>
            <a:gdLst>
              <a:gd name="connsiteX0" fmla="*/ 2458479 w 2458479"/>
              <a:gd name="connsiteY0" fmla="*/ 0 h 875270"/>
              <a:gd name="connsiteX1" fmla="*/ 1647567 w 2458479"/>
              <a:gd name="connsiteY1" fmla="*/ 592094 h 875270"/>
              <a:gd name="connsiteX2" fmla="*/ 579223 w 2458479"/>
              <a:gd name="connsiteY2" fmla="*/ 501993 h 875270"/>
              <a:gd name="connsiteX3" fmla="*/ 0 w 2458479"/>
              <a:gd name="connsiteY3" fmla="*/ 875270 h 87527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458479" h="875270">
                <a:moveTo>
                  <a:pt x="2458479" y="0"/>
                </a:moveTo>
                <a:cubicBezTo>
                  <a:pt x="2209627" y="254214"/>
                  <a:pt x="1960776" y="508429"/>
                  <a:pt x="1647567" y="592094"/>
                </a:cubicBezTo>
                <a:cubicBezTo>
                  <a:pt x="1334358" y="675759"/>
                  <a:pt x="853817" y="454797"/>
                  <a:pt x="579223" y="501993"/>
                </a:cubicBezTo>
                <a:cubicBezTo>
                  <a:pt x="304629" y="549189"/>
                  <a:pt x="152314" y="712229"/>
                  <a:pt x="0" y="875270"/>
                </a:cubicBezTo>
              </a:path>
            </a:pathLst>
          </a:custGeom>
          <a:noFill/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 editAs="oneCell">
    <xdr:from>
      <xdr:col>3</xdr:col>
      <xdr:colOff>2534478</xdr:colOff>
      <xdr:row>2</xdr:row>
      <xdr:rowOff>1258957</xdr:rowOff>
    </xdr:from>
    <xdr:to>
      <xdr:col>4</xdr:col>
      <xdr:colOff>349802</xdr:colOff>
      <xdr:row>2</xdr:row>
      <xdr:rowOff>1639957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0992DF72-3620-2DF7-C75B-48BD56A0C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773478" y="1938131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2559325</xdr:colOff>
      <xdr:row>2</xdr:row>
      <xdr:rowOff>876576</xdr:rowOff>
    </xdr:from>
    <xdr:to>
      <xdr:col>4</xdr:col>
      <xdr:colOff>331304</xdr:colOff>
      <xdr:row>2</xdr:row>
      <xdr:rowOff>1207881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095DD4C4-8DFA-0DAE-F827-7967A6D28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798325" y="1555750"/>
          <a:ext cx="331305" cy="331305"/>
        </a:xfrm>
        <a:prstGeom prst="rect">
          <a:avLst/>
        </a:prstGeom>
      </xdr:spPr>
    </xdr:pic>
    <xdr:clientData/>
  </xdr:twoCellAnchor>
  <xdr:twoCellAnchor>
    <xdr:from>
      <xdr:col>11</xdr:col>
      <xdr:colOff>126575</xdr:colOff>
      <xdr:row>8</xdr:row>
      <xdr:rowOff>10886</xdr:rowOff>
    </xdr:from>
    <xdr:to>
      <xdr:col>11</xdr:col>
      <xdr:colOff>2536372</xdr:colOff>
      <xdr:row>9</xdr:row>
      <xdr:rowOff>1449</xdr:rowOff>
    </xdr:to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57B32E57-2CB6-42D8-8E90-871903DC1899}"/>
            </a:ext>
          </a:extLst>
        </xdr:cNvPr>
        <xdr:cNvSpPr txBox="1"/>
      </xdr:nvSpPr>
      <xdr:spPr>
        <a:xfrm>
          <a:off x="18055346" y="9372600"/>
          <a:ext cx="2409797" cy="268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AU" sz="1400" b="1">
              <a:solidFill>
                <a:schemeClr val="tx1"/>
              </a:solidFill>
            </a:rPr>
            <a:t>healthy performance trend</a:t>
          </a:r>
        </a:p>
      </xdr:txBody>
    </xdr:sp>
    <xdr:clientData/>
  </xdr:twoCellAnchor>
  <xdr:twoCellAnchor>
    <xdr:from>
      <xdr:col>11</xdr:col>
      <xdr:colOff>122256</xdr:colOff>
      <xdr:row>9</xdr:row>
      <xdr:rowOff>10886</xdr:rowOff>
    </xdr:from>
    <xdr:to>
      <xdr:col>11</xdr:col>
      <xdr:colOff>2008839</xdr:colOff>
      <xdr:row>9</xdr:row>
      <xdr:rowOff>275993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430CF34D-C3DD-4E4D-AC58-16D498C34C32}"/>
            </a:ext>
          </a:extLst>
        </xdr:cNvPr>
        <xdr:cNvSpPr txBox="1"/>
      </xdr:nvSpPr>
      <xdr:spPr>
        <a:xfrm>
          <a:off x="18051027" y="9650186"/>
          <a:ext cx="1886583" cy="265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AU" sz="1400" b="1">
              <a:solidFill>
                <a:schemeClr val="tx1"/>
              </a:solidFill>
              <a:latin typeface="+mn-lt"/>
              <a:ea typeface="+mn-ea"/>
              <a:cs typeface="+mn-cs"/>
            </a:rPr>
            <a:t>achievable sprint goal</a:t>
          </a:r>
        </a:p>
      </xdr:txBody>
    </xdr:sp>
    <xdr:clientData/>
  </xdr:twoCellAnchor>
  <xdr:twoCellAnchor>
    <xdr:from>
      <xdr:col>3</xdr:col>
      <xdr:colOff>82826</xdr:colOff>
      <xdr:row>3</xdr:row>
      <xdr:rowOff>731630</xdr:rowOff>
    </xdr:from>
    <xdr:to>
      <xdr:col>3</xdr:col>
      <xdr:colOff>676413</xdr:colOff>
      <xdr:row>3</xdr:row>
      <xdr:rowOff>1960217</xdr:rowOff>
    </xdr:to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B8AA8188-EDBA-CB05-C599-3538C342E379}"/>
            </a:ext>
          </a:extLst>
        </xdr:cNvPr>
        <xdr:cNvSpPr/>
      </xdr:nvSpPr>
      <xdr:spPr>
        <a:xfrm>
          <a:off x="7321826" y="3144630"/>
          <a:ext cx="593587" cy="122858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131989</xdr:colOff>
      <xdr:row>3</xdr:row>
      <xdr:rowOff>1351191</xdr:rowOff>
    </xdr:from>
    <xdr:to>
      <xdr:col>4</xdr:col>
      <xdr:colOff>2231572</xdr:colOff>
      <xdr:row>3</xdr:row>
      <xdr:rowOff>2348140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BE730D0-0F7A-43E9-AF41-5CDC57C77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1960563</xdr:colOff>
      <xdr:row>4</xdr:row>
      <xdr:rowOff>2075196</xdr:rowOff>
    </xdr:from>
    <xdr:to>
      <xdr:col>3</xdr:col>
      <xdr:colOff>2514001</xdr:colOff>
      <xdr:row>4</xdr:row>
      <xdr:rowOff>2448720</xdr:rowOff>
    </xdr:to>
    <xdr:sp macro="" textlink="'Sprint Summary | data'!J43">
      <xdr:nvSpPr>
        <xdr:cNvPr id="4" name="TextBox 3">
          <a:extLst>
            <a:ext uri="{FF2B5EF4-FFF2-40B4-BE49-F238E27FC236}">
              <a16:creationId xmlns:a16="http://schemas.microsoft.com/office/drawing/2014/main" id="{7BCEB826-1605-4FE6-9866-D15835C23457}"/>
            </a:ext>
          </a:extLst>
        </xdr:cNvPr>
        <xdr:cNvSpPr txBox="1"/>
      </xdr:nvSpPr>
      <xdr:spPr>
        <a:xfrm>
          <a:off x="9199563" y="7579852"/>
          <a:ext cx="553438" cy="3735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l"/>
          <a:fld id="{0B84AA68-6F5A-42ED-AA6F-E4E4EA22A34B}" type="TxLink"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l"/>
            <a:t>23</a:t>
          </a:fld>
          <a:endParaRPr lang="en-AU" sz="2000" b="0" i="0" u="none" strike="noStrike">
            <a:solidFill>
              <a:schemeClr val="bg2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1150938</xdr:colOff>
      <xdr:row>4</xdr:row>
      <xdr:rowOff>2039885</xdr:rowOff>
    </xdr:from>
    <xdr:to>
      <xdr:col>3</xdr:col>
      <xdr:colOff>2070630</xdr:colOff>
      <xdr:row>4</xdr:row>
      <xdr:rowOff>2474931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298F651-F690-4B44-8504-6D06A313965E}"/>
            </a:ext>
          </a:extLst>
        </xdr:cNvPr>
        <xdr:cNvSpPr txBox="1"/>
      </xdr:nvSpPr>
      <xdr:spPr>
        <a:xfrm>
          <a:off x="8394125" y="7545544"/>
          <a:ext cx="919692" cy="4350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AU" sz="800">
              <a:solidFill>
                <a:schemeClr val="bg2">
                  <a:lumMod val="75000"/>
                </a:schemeClr>
              </a:solidFill>
            </a:rPr>
            <a:t>total work items completed</a:t>
          </a:r>
        </a:p>
      </xdr:txBody>
    </xdr:sp>
    <xdr:clientData/>
  </xdr:twoCellAnchor>
  <xdr:twoCellAnchor>
    <xdr:from>
      <xdr:col>3</xdr:col>
      <xdr:colOff>1962151</xdr:colOff>
      <xdr:row>4</xdr:row>
      <xdr:rowOff>2453815</xdr:rowOff>
    </xdr:from>
    <xdr:to>
      <xdr:col>3</xdr:col>
      <xdr:colOff>2515589</xdr:colOff>
      <xdr:row>4</xdr:row>
      <xdr:rowOff>2827339</xdr:rowOff>
    </xdr:to>
    <xdr:sp macro="" textlink="'Sprint Summary | data'!J44">
      <xdr:nvSpPr>
        <xdr:cNvPr id="8" name="TextBox 7">
          <a:extLst>
            <a:ext uri="{FF2B5EF4-FFF2-40B4-BE49-F238E27FC236}">
              <a16:creationId xmlns:a16="http://schemas.microsoft.com/office/drawing/2014/main" id="{3BC3EC4B-221E-476F-B2C3-0D8596320387}"/>
            </a:ext>
          </a:extLst>
        </xdr:cNvPr>
        <xdr:cNvSpPr txBox="1"/>
      </xdr:nvSpPr>
      <xdr:spPr>
        <a:xfrm>
          <a:off x="9201151" y="7958471"/>
          <a:ext cx="553438" cy="3735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l"/>
          <a:fld id="{4295C35D-C405-4599-B3FE-08500F5B965A}" type="TxLink"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l"/>
            <a:t>26.5</a:t>
          </a:fld>
          <a:endParaRPr lang="en-AU" sz="2000" b="0" i="0" u="none" strike="noStrike">
            <a:solidFill>
              <a:schemeClr val="bg2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1148557</xdr:colOff>
      <xdr:row>4</xdr:row>
      <xdr:rowOff>2417544</xdr:rowOff>
    </xdr:from>
    <xdr:to>
      <xdr:col>3</xdr:col>
      <xdr:colOff>2068249</xdr:colOff>
      <xdr:row>4</xdr:row>
      <xdr:rowOff>2852590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DF5F246-44AA-4FAA-9ABB-501FA4F650DD}"/>
            </a:ext>
          </a:extLst>
        </xdr:cNvPr>
        <xdr:cNvSpPr txBox="1"/>
      </xdr:nvSpPr>
      <xdr:spPr>
        <a:xfrm>
          <a:off x="8391744" y="7923203"/>
          <a:ext cx="919692" cy="4350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AU" sz="800">
              <a:solidFill>
                <a:schemeClr val="bg2">
                  <a:lumMod val="75000"/>
                </a:schemeClr>
              </a:solidFill>
            </a:rPr>
            <a:t>total story points completed</a:t>
          </a:r>
        </a:p>
      </xdr:txBody>
    </xdr:sp>
    <xdr:clientData/>
  </xdr:twoCellAnchor>
  <xdr:twoCellAnchor>
    <xdr:from>
      <xdr:col>4</xdr:col>
      <xdr:colOff>1922463</xdr:colOff>
      <xdr:row>4</xdr:row>
      <xdr:rowOff>2068846</xdr:rowOff>
    </xdr:from>
    <xdr:to>
      <xdr:col>4</xdr:col>
      <xdr:colOff>2475901</xdr:colOff>
      <xdr:row>4</xdr:row>
      <xdr:rowOff>2442370</xdr:rowOff>
    </xdr:to>
    <xdr:sp macro="" textlink="'Sprint Summary | data'!J52">
      <xdr:nvSpPr>
        <xdr:cNvPr id="29" name="TextBox 28">
          <a:extLst>
            <a:ext uri="{FF2B5EF4-FFF2-40B4-BE49-F238E27FC236}">
              <a16:creationId xmlns:a16="http://schemas.microsoft.com/office/drawing/2014/main" id="{4459D7BF-ADE6-482B-8DEF-1FB6976DB207}"/>
            </a:ext>
          </a:extLst>
        </xdr:cNvPr>
        <xdr:cNvSpPr txBox="1"/>
      </xdr:nvSpPr>
      <xdr:spPr>
        <a:xfrm>
          <a:off x="11721307" y="7573502"/>
          <a:ext cx="553438" cy="3735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l"/>
          <a:fld id="{6C88994D-FA95-4177-952E-57CC9A1D7491}" type="TxLink"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l"/>
            <a:t>#REF!</a:t>
          </a:fld>
          <a:endParaRPr lang="en-AU" sz="2000" b="0" i="0" u="none" strike="noStrike">
            <a:solidFill>
              <a:schemeClr val="bg2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1005533</xdr:colOff>
      <xdr:row>4</xdr:row>
      <xdr:rowOff>2060654</xdr:rowOff>
    </xdr:from>
    <xdr:to>
      <xdr:col>4</xdr:col>
      <xdr:colOff>2022063</xdr:colOff>
      <xdr:row>4</xdr:row>
      <xdr:rowOff>2424863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6DA8591-AE27-41BC-A7DB-49F057FE618A}"/>
            </a:ext>
          </a:extLst>
        </xdr:cNvPr>
        <xdr:cNvSpPr txBox="1"/>
      </xdr:nvSpPr>
      <xdr:spPr>
        <a:xfrm>
          <a:off x="10806165" y="7566313"/>
          <a:ext cx="1016530" cy="364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AU" sz="800">
              <a:solidFill>
                <a:schemeClr val="bg2">
                  <a:lumMod val="75000"/>
                </a:schemeClr>
              </a:solidFill>
            </a:rPr>
            <a:t>total</a:t>
          </a:r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en-AU" sz="800">
              <a:solidFill>
                <a:schemeClr val="bg2">
                  <a:lumMod val="75000"/>
                </a:schemeClr>
              </a:solidFill>
            </a:rPr>
            <a:t>work</a:t>
          </a:r>
          <a:endParaRPr lang="en-AU" sz="800" baseline="0">
            <a:solidFill>
              <a:schemeClr val="bg2">
                <a:lumMod val="75000"/>
              </a:schemeClr>
            </a:solidFill>
          </a:endParaRPr>
        </a:p>
        <a:p>
          <a:pPr algn="r"/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items unestimated</a:t>
          </a:r>
          <a:endParaRPr lang="en-AU" sz="8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1924051</xdr:colOff>
      <xdr:row>4</xdr:row>
      <xdr:rowOff>2447465</xdr:rowOff>
    </xdr:from>
    <xdr:to>
      <xdr:col>4</xdr:col>
      <xdr:colOff>2477489</xdr:colOff>
      <xdr:row>4</xdr:row>
      <xdr:rowOff>2820989</xdr:rowOff>
    </xdr:to>
    <xdr:sp macro="" textlink="'Sprint Summary | data'!J53">
      <xdr:nvSpPr>
        <xdr:cNvPr id="60" name="TextBox 59">
          <a:extLst>
            <a:ext uri="{FF2B5EF4-FFF2-40B4-BE49-F238E27FC236}">
              <a16:creationId xmlns:a16="http://schemas.microsoft.com/office/drawing/2014/main" id="{51CCB4B9-9A38-428D-8914-87CE2C96C2E9}"/>
            </a:ext>
          </a:extLst>
        </xdr:cNvPr>
        <xdr:cNvSpPr txBox="1"/>
      </xdr:nvSpPr>
      <xdr:spPr>
        <a:xfrm>
          <a:off x="11722895" y="7952121"/>
          <a:ext cx="553438" cy="3735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l"/>
          <a:fld id="{252A89CD-F399-4E3C-9004-9802174D53B9}" type="TxLink"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l"/>
            <a:t>64</a:t>
          </a:fld>
          <a:endParaRPr lang="en-AU" sz="2000" b="0" i="0" u="none" strike="noStrike">
            <a:solidFill>
              <a:schemeClr val="bg2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944562</xdr:colOff>
      <xdr:row>4</xdr:row>
      <xdr:rowOff>2410472</xdr:rowOff>
    </xdr:from>
    <xdr:to>
      <xdr:col>4</xdr:col>
      <xdr:colOff>2030149</xdr:colOff>
      <xdr:row>4</xdr:row>
      <xdr:rowOff>2847034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F529559-6035-4AA8-B8D5-F2D24D9CAFB8}"/>
            </a:ext>
          </a:extLst>
        </xdr:cNvPr>
        <xdr:cNvSpPr txBox="1"/>
      </xdr:nvSpPr>
      <xdr:spPr>
        <a:xfrm>
          <a:off x="10745194" y="7916131"/>
          <a:ext cx="1085587" cy="436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AU" sz="800">
              <a:solidFill>
                <a:schemeClr val="bg2">
                  <a:lumMod val="75000"/>
                </a:schemeClr>
              </a:solidFill>
            </a:rPr>
            <a:t>total</a:t>
          </a:r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en-AU" sz="800">
              <a:solidFill>
                <a:schemeClr val="bg2">
                  <a:lumMod val="75000"/>
                </a:schemeClr>
              </a:solidFill>
            </a:rPr>
            <a:t>work</a:t>
          </a:r>
          <a:endParaRPr lang="en-AU" sz="800" baseline="0">
            <a:solidFill>
              <a:schemeClr val="bg2">
                <a:lumMod val="75000"/>
              </a:schemeClr>
            </a:solidFill>
          </a:endParaRPr>
        </a:p>
        <a:p>
          <a:pPr algn="r"/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items planned</a:t>
          </a:r>
          <a:endParaRPr lang="en-AU" sz="8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1808686</xdr:colOff>
      <xdr:row>12</xdr:row>
      <xdr:rowOff>19016</xdr:rowOff>
    </xdr:from>
    <xdr:to>
      <xdr:col>4</xdr:col>
      <xdr:colOff>2355774</xdr:colOff>
      <xdr:row>13</xdr:row>
      <xdr:rowOff>100091</xdr:rowOff>
    </xdr:to>
    <xdr:sp macro="" textlink="'Sprint Summary | data'!J62">
      <xdr:nvSpPr>
        <xdr:cNvPr id="70" name="TextBox 69">
          <a:extLst>
            <a:ext uri="{FF2B5EF4-FFF2-40B4-BE49-F238E27FC236}">
              <a16:creationId xmlns:a16="http://schemas.microsoft.com/office/drawing/2014/main" id="{A64C8A63-5A81-46CF-A832-30253ABE409B}"/>
            </a:ext>
          </a:extLst>
        </xdr:cNvPr>
        <xdr:cNvSpPr txBox="1"/>
      </xdr:nvSpPr>
      <xdr:spPr>
        <a:xfrm>
          <a:off x="11605829" y="10469302"/>
          <a:ext cx="547088" cy="35321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l"/>
          <a:fld id="{E09289AA-C292-4B98-9C18-4ACAABD056BB}" type="TxLink"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l"/>
            <a:t>23</a:t>
          </a:fld>
          <a:endParaRPr lang="en-AU" sz="2000" b="0" i="0" u="none" strike="noStrike">
            <a:solidFill>
              <a:schemeClr val="bg2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891756</xdr:colOff>
      <xdr:row>12</xdr:row>
      <xdr:rowOff>7649</xdr:rowOff>
    </xdr:from>
    <xdr:to>
      <xdr:col>4</xdr:col>
      <xdr:colOff>1901936</xdr:colOff>
      <xdr:row>13</xdr:row>
      <xdr:rowOff>82584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0A15FE6-CDB6-422B-AD0B-91A9609B55DE}"/>
            </a:ext>
          </a:extLst>
        </xdr:cNvPr>
        <xdr:cNvSpPr txBox="1"/>
      </xdr:nvSpPr>
      <xdr:spPr>
        <a:xfrm>
          <a:off x="10688899" y="10457935"/>
          <a:ext cx="1010180" cy="347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AU" sz="800">
              <a:solidFill>
                <a:schemeClr val="bg2">
                  <a:lumMod val="75000"/>
                </a:schemeClr>
              </a:solidFill>
            </a:rPr>
            <a:t>completed</a:t>
          </a:r>
        </a:p>
        <a:p>
          <a:pPr algn="r"/>
          <a:r>
            <a:rPr lang="en-AU" sz="800">
              <a:solidFill>
                <a:schemeClr val="bg2">
                  <a:lumMod val="75000"/>
                </a:schemeClr>
              </a:solidFill>
            </a:rPr>
            <a:t>work items</a:t>
          </a:r>
        </a:p>
      </xdr:txBody>
    </xdr:sp>
    <xdr:clientData/>
  </xdr:twoCellAnchor>
  <xdr:twoCellAnchor>
    <xdr:from>
      <xdr:col>4</xdr:col>
      <xdr:colOff>1807098</xdr:colOff>
      <xdr:row>13</xdr:row>
      <xdr:rowOff>108361</xdr:rowOff>
    </xdr:from>
    <xdr:to>
      <xdr:col>5</xdr:col>
      <xdr:colOff>51252</xdr:colOff>
      <xdr:row>13</xdr:row>
      <xdr:rowOff>481885</xdr:rowOff>
    </xdr:to>
    <xdr:sp macro="" textlink="'Sprint Summary | data'!J63">
      <xdr:nvSpPr>
        <xdr:cNvPr id="82" name="TextBox 81">
          <a:extLst>
            <a:ext uri="{FF2B5EF4-FFF2-40B4-BE49-F238E27FC236}">
              <a16:creationId xmlns:a16="http://schemas.microsoft.com/office/drawing/2014/main" id="{D92D70BF-EFF6-42D5-82B3-05CEACD727EC}"/>
            </a:ext>
          </a:extLst>
        </xdr:cNvPr>
        <xdr:cNvSpPr txBox="1"/>
      </xdr:nvSpPr>
      <xdr:spPr>
        <a:xfrm>
          <a:off x="11604241" y="10830790"/>
          <a:ext cx="802297" cy="3735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l"/>
          <a:fld id="{E81F4EBF-D290-4140-8A21-ABA364AD67A3}" type="TxLink"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l"/>
            <a:t>26.5</a:t>
          </a:fld>
          <a:endParaRPr lang="en-AU" sz="2000" b="0" i="0" u="none" strike="noStrike">
            <a:solidFill>
              <a:schemeClr val="bg2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827610</xdr:colOff>
      <xdr:row>13</xdr:row>
      <xdr:rowOff>71368</xdr:rowOff>
    </xdr:from>
    <xdr:to>
      <xdr:col>4</xdr:col>
      <xdr:colOff>1913197</xdr:colOff>
      <xdr:row>13</xdr:row>
      <xdr:rowOff>507930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C122599-3722-42E8-B8AB-346D5D02150B}"/>
            </a:ext>
          </a:extLst>
        </xdr:cNvPr>
        <xdr:cNvSpPr txBox="1"/>
      </xdr:nvSpPr>
      <xdr:spPr>
        <a:xfrm>
          <a:off x="10624753" y="10793797"/>
          <a:ext cx="1085587" cy="436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AU" sz="800">
              <a:solidFill>
                <a:schemeClr val="bg2">
                  <a:lumMod val="75000"/>
                </a:schemeClr>
              </a:solidFill>
            </a:rPr>
            <a:t>completed</a:t>
          </a:r>
        </a:p>
        <a:p>
          <a:pPr algn="r"/>
          <a:r>
            <a:rPr lang="en-AU" sz="800">
              <a:solidFill>
                <a:schemeClr val="bg2">
                  <a:lumMod val="75000"/>
                </a:schemeClr>
              </a:solidFill>
            </a:rPr>
            <a:t>story</a:t>
          </a:r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 points</a:t>
          </a:r>
          <a:endParaRPr lang="en-AU" sz="8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5263608</xdr:colOff>
      <xdr:row>14</xdr:row>
      <xdr:rowOff>1961745</xdr:rowOff>
    </xdr:from>
    <xdr:to>
      <xdr:col>2</xdr:col>
      <xdr:colOff>6143868</xdr:colOff>
      <xdr:row>14</xdr:row>
      <xdr:rowOff>2201948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839C1B89-4781-4844-A5AF-2D755F46AACC}"/>
            </a:ext>
          </a:extLst>
        </xdr:cNvPr>
        <xdr:cNvGrpSpPr/>
      </xdr:nvGrpSpPr>
      <xdr:grpSpPr>
        <a:xfrm>
          <a:off x="6043751" y="13137745"/>
          <a:ext cx="880260" cy="240203"/>
          <a:chOff x="5992812" y="13470006"/>
          <a:chExt cx="880260" cy="370395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4B953DE0-1958-2C71-D186-B844FE589AD1}"/>
              </a:ext>
            </a:extLst>
          </xdr:cNvPr>
          <xdr:cNvSpPr txBox="1"/>
        </xdr:nvSpPr>
        <xdr:spPr>
          <a:xfrm>
            <a:off x="5992812" y="13470006"/>
            <a:ext cx="442111" cy="36880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bg2">
                <a:lumMod val="9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AU" sz="800" b="1">
                <a:solidFill>
                  <a:schemeClr val="bg2">
                    <a:lumMod val="75000"/>
                  </a:schemeClr>
                </a:solidFill>
              </a:rPr>
              <a:t>pts</a:t>
            </a:r>
          </a:p>
        </xdr:txBody>
      </xdr:sp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50AC81B5-B472-5D53-636D-E603B2D56EC6}"/>
              </a:ext>
            </a:extLst>
          </xdr:cNvPr>
          <xdr:cNvSpPr txBox="1"/>
        </xdr:nvSpPr>
        <xdr:spPr>
          <a:xfrm>
            <a:off x="6430961" y="13471594"/>
            <a:ext cx="442111" cy="36880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bg2">
                <a:lumMod val="9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AU" sz="800" b="1">
                <a:solidFill>
                  <a:schemeClr val="bg2">
                    <a:lumMod val="75000"/>
                  </a:schemeClr>
                </a:solidFill>
              </a:rPr>
              <a:t>%</a:t>
            </a:r>
          </a:p>
        </xdr:txBody>
      </xdr:sp>
    </xdr:grpSp>
    <xdr:clientData/>
  </xdr:twoCellAnchor>
  <xdr:twoCellAnchor>
    <xdr:from>
      <xdr:col>2</xdr:col>
      <xdr:colOff>4198456</xdr:colOff>
      <xdr:row>14</xdr:row>
      <xdr:rowOff>2189162</xdr:rowOff>
    </xdr:from>
    <xdr:to>
      <xdr:col>2</xdr:col>
      <xdr:colOff>6142822</xdr:colOff>
      <xdr:row>14</xdr:row>
      <xdr:rowOff>2565182</xdr:rowOff>
    </xdr:to>
    <xdr:grpSp>
      <xdr:nvGrpSpPr>
        <xdr:cNvPr id="146" name="Group 145">
          <a:extLst>
            <a:ext uri="{FF2B5EF4-FFF2-40B4-BE49-F238E27FC236}">
              <a16:creationId xmlns:a16="http://schemas.microsoft.com/office/drawing/2014/main" id="{2B8E04E4-C3D8-E581-F2EA-6911D71FF61F}"/>
            </a:ext>
          </a:extLst>
        </xdr:cNvPr>
        <xdr:cNvGrpSpPr/>
      </xdr:nvGrpSpPr>
      <xdr:grpSpPr>
        <a:xfrm>
          <a:off x="4978599" y="13365162"/>
          <a:ext cx="1944366" cy="376020"/>
          <a:chOff x="4928706" y="13473112"/>
          <a:chExt cx="1944366" cy="376020"/>
        </a:xfrm>
      </xdr:grpSpPr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BE593FAD-9C5E-8838-88A5-EC4609703528}"/>
              </a:ext>
            </a:extLst>
          </xdr:cNvPr>
          <xdr:cNvGrpSpPr/>
        </xdr:nvGrpSpPr>
        <xdr:grpSpPr>
          <a:xfrm>
            <a:off x="4984212" y="13477150"/>
            <a:ext cx="1888860" cy="371982"/>
            <a:chOff x="4984212" y="13468419"/>
            <a:chExt cx="1888860" cy="371982"/>
          </a:xfrm>
        </xdr:grpSpPr>
        <xdr:sp macro="" textlink="'Sprint Summary | data'!A29">
          <xdr:nvSpPr>
            <xdr:cNvPr id="93" name="TextBox 92">
              <a:extLst>
                <a:ext uri="{FF2B5EF4-FFF2-40B4-BE49-F238E27FC236}">
                  <a16:creationId xmlns:a16="http://schemas.microsoft.com/office/drawing/2014/main" id="{F4FAE3EA-FAA4-4173-8178-B83E49FAF57A}"/>
                </a:ext>
              </a:extLst>
            </xdr:cNvPr>
            <xdr:cNvSpPr txBox="1"/>
          </xdr:nvSpPr>
          <xdr:spPr>
            <a:xfrm>
              <a:off x="4984212" y="13468419"/>
              <a:ext cx="1016530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789D462D-5F9B-4080-A5D4-CAEF898FB01F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r"/>
                <a:t>BAU/Improvement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B29">
          <xdr:nvSpPr>
            <xdr:cNvPr id="95" name="TextBox 94">
              <a:extLst>
                <a:ext uri="{FF2B5EF4-FFF2-40B4-BE49-F238E27FC236}">
                  <a16:creationId xmlns:a16="http://schemas.microsoft.com/office/drawing/2014/main" id="{012D7DBF-56AE-4914-85D0-8CCE0DA619F6}"/>
                </a:ext>
              </a:extLst>
            </xdr:cNvPr>
            <xdr:cNvSpPr txBox="1"/>
          </xdr:nvSpPr>
          <xdr:spPr>
            <a:xfrm>
              <a:off x="5992812" y="13470006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D0CFB8DF-97CF-4861-B745-A001C19F0CE1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11.5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C29">
          <xdr:nvSpPr>
            <xdr:cNvPr id="97" name="TextBox 96">
              <a:extLst>
                <a:ext uri="{FF2B5EF4-FFF2-40B4-BE49-F238E27FC236}">
                  <a16:creationId xmlns:a16="http://schemas.microsoft.com/office/drawing/2014/main" id="{93C65039-BD7A-49CF-A817-5C84481179A3}"/>
                </a:ext>
              </a:extLst>
            </xdr:cNvPr>
            <xdr:cNvSpPr txBox="1"/>
          </xdr:nvSpPr>
          <xdr:spPr>
            <a:xfrm>
              <a:off x="6430961" y="13471594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0C61450-8A83-474F-928A-77D7206D0098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62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6D9D31EF-A557-48D3-9884-EF4389074626}"/>
              </a:ext>
            </a:extLst>
          </xdr:cNvPr>
          <xdr:cNvSpPr txBox="1"/>
        </xdr:nvSpPr>
        <xdr:spPr>
          <a:xfrm>
            <a:off x="4928706" y="13473112"/>
            <a:ext cx="73362" cy="372845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AU" sz="800">
              <a:solidFill>
                <a:schemeClr val="bg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4198456</xdr:colOff>
      <xdr:row>14</xdr:row>
      <xdr:rowOff>2546349</xdr:rowOff>
    </xdr:from>
    <xdr:to>
      <xdr:col>2</xdr:col>
      <xdr:colOff>6144409</xdr:colOff>
      <xdr:row>14</xdr:row>
      <xdr:rowOff>2923957</xdr:rowOff>
    </xdr:to>
    <xdr:grpSp>
      <xdr:nvGrpSpPr>
        <xdr:cNvPr id="147" name="Group 146">
          <a:extLst>
            <a:ext uri="{FF2B5EF4-FFF2-40B4-BE49-F238E27FC236}">
              <a16:creationId xmlns:a16="http://schemas.microsoft.com/office/drawing/2014/main" id="{6CC16C17-6D44-DE6E-9562-0EE82A4A408C}"/>
            </a:ext>
          </a:extLst>
        </xdr:cNvPr>
        <xdr:cNvGrpSpPr/>
      </xdr:nvGrpSpPr>
      <xdr:grpSpPr>
        <a:xfrm>
          <a:off x="4978599" y="13722349"/>
          <a:ext cx="1945953" cy="377608"/>
          <a:chOff x="4928706" y="13830299"/>
          <a:chExt cx="1945953" cy="377608"/>
        </a:xfrm>
      </xdr:grpSpPr>
      <xdr:grpSp>
        <xdr:nvGrpSpPr>
          <xdr:cNvPr id="102" name="Group 101">
            <a:extLst>
              <a:ext uri="{FF2B5EF4-FFF2-40B4-BE49-F238E27FC236}">
                <a16:creationId xmlns:a16="http://schemas.microsoft.com/office/drawing/2014/main" id="{04012ED0-774B-401E-8420-CC3AA17DE601}"/>
              </a:ext>
            </a:extLst>
          </xdr:cNvPr>
          <xdr:cNvGrpSpPr/>
        </xdr:nvGrpSpPr>
        <xdr:grpSpPr>
          <a:xfrm>
            <a:off x="4985799" y="13835925"/>
            <a:ext cx="1888860" cy="371982"/>
            <a:chOff x="4984212" y="13468419"/>
            <a:chExt cx="1888860" cy="371982"/>
          </a:xfrm>
        </xdr:grpSpPr>
        <xdr:sp macro="" textlink="'Sprint Summary | data'!A30">
          <xdr:nvSpPr>
            <xdr:cNvPr id="103" name="TextBox 102">
              <a:extLst>
                <a:ext uri="{FF2B5EF4-FFF2-40B4-BE49-F238E27FC236}">
                  <a16:creationId xmlns:a16="http://schemas.microsoft.com/office/drawing/2014/main" id="{F3BA0059-B864-2F50-5CE3-E460EAB51DAD}"/>
                </a:ext>
              </a:extLst>
            </xdr:cNvPr>
            <xdr:cNvSpPr txBox="1"/>
          </xdr:nvSpPr>
          <xdr:spPr>
            <a:xfrm>
              <a:off x="4984212" y="13468419"/>
              <a:ext cx="1016530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E0FA7979-F0C7-4E75-BC26-1DFEAAF49C58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r"/>
                <a:t>Convergence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B30">
          <xdr:nvSpPr>
            <xdr:cNvPr id="104" name="TextBox 103">
              <a:extLst>
                <a:ext uri="{FF2B5EF4-FFF2-40B4-BE49-F238E27FC236}">
                  <a16:creationId xmlns:a16="http://schemas.microsoft.com/office/drawing/2014/main" id="{4B52FF57-FDED-6D0C-E6CA-0FD79B98F5EF}"/>
                </a:ext>
              </a:extLst>
            </xdr:cNvPr>
            <xdr:cNvSpPr txBox="1"/>
          </xdr:nvSpPr>
          <xdr:spPr>
            <a:xfrm>
              <a:off x="5992812" y="13470006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C1BC7AD5-9365-450D-8FBC-5C1517791FBA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3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C30">
          <xdr:nvSpPr>
            <xdr:cNvPr id="105" name="TextBox 104">
              <a:extLst>
                <a:ext uri="{FF2B5EF4-FFF2-40B4-BE49-F238E27FC236}">
                  <a16:creationId xmlns:a16="http://schemas.microsoft.com/office/drawing/2014/main" id="{6F0E1E7C-EA13-D53E-9222-5274A4266B48}"/>
                </a:ext>
              </a:extLst>
            </xdr:cNvPr>
            <xdr:cNvSpPr txBox="1"/>
          </xdr:nvSpPr>
          <xdr:spPr>
            <a:xfrm>
              <a:off x="6430961" y="13471594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953B824-658C-4C10-9E9D-21DE16321034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16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EFEB46EB-A49F-4616-8694-E970DD62FC93}"/>
              </a:ext>
            </a:extLst>
          </xdr:cNvPr>
          <xdr:cNvSpPr txBox="1"/>
        </xdr:nvSpPr>
        <xdr:spPr>
          <a:xfrm>
            <a:off x="4928706" y="13830299"/>
            <a:ext cx="73362" cy="37284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AU" sz="800">
              <a:solidFill>
                <a:schemeClr val="bg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4198456</xdr:colOff>
      <xdr:row>14</xdr:row>
      <xdr:rowOff>2907034</xdr:rowOff>
    </xdr:from>
    <xdr:to>
      <xdr:col>2</xdr:col>
      <xdr:colOff>6145489</xdr:colOff>
      <xdr:row>14</xdr:row>
      <xdr:rowOff>3281144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83B9DBFF-64D2-421B-47EC-FE1255298CE6}"/>
            </a:ext>
          </a:extLst>
        </xdr:cNvPr>
        <xdr:cNvGrpSpPr/>
      </xdr:nvGrpSpPr>
      <xdr:grpSpPr>
        <a:xfrm>
          <a:off x="4978599" y="14083034"/>
          <a:ext cx="1947033" cy="374110"/>
          <a:chOff x="4928706" y="14190984"/>
          <a:chExt cx="1947033" cy="374110"/>
        </a:xfrm>
      </xdr:grpSpPr>
      <xdr:grpSp>
        <xdr:nvGrpSpPr>
          <xdr:cNvPr id="107" name="Group 106">
            <a:extLst>
              <a:ext uri="{FF2B5EF4-FFF2-40B4-BE49-F238E27FC236}">
                <a16:creationId xmlns:a16="http://schemas.microsoft.com/office/drawing/2014/main" id="{E26655C5-5952-4DC2-A598-AC3736345592}"/>
              </a:ext>
            </a:extLst>
          </xdr:cNvPr>
          <xdr:cNvGrpSpPr/>
        </xdr:nvGrpSpPr>
        <xdr:grpSpPr>
          <a:xfrm>
            <a:off x="4986879" y="14190984"/>
            <a:ext cx="1888860" cy="371982"/>
            <a:chOff x="4984212" y="13468419"/>
            <a:chExt cx="1888860" cy="371982"/>
          </a:xfrm>
        </xdr:grpSpPr>
        <xdr:sp macro="" textlink="'Sprint Summary | data'!A31">
          <xdr:nvSpPr>
            <xdr:cNvPr id="109" name="TextBox 108">
              <a:extLst>
                <a:ext uri="{FF2B5EF4-FFF2-40B4-BE49-F238E27FC236}">
                  <a16:creationId xmlns:a16="http://schemas.microsoft.com/office/drawing/2014/main" id="{455E9D36-9BD5-863D-86B1-02F3C21C81CC}"/>
                </a:ext>
              </a:extLst>
            </xdr:cNvPr>
            <xdr:cNvSpPr txBox="1"/>
          </xdr:nvSpPr>
          <xdr:spPr>
            <a:xfrm>
              <a:off x="4984212" y="13468419"/>
              <a:ext cx="1016530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276B0573-7370-4189-AFA8-953028B005EE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r"/>
                <a:t>Project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B31">
          <xdr:nvSpPr>
            <xdr:cNvPr id="110" name="TextBox 109">
              <a:extLst>
                <a:ext uri="{FF2B5EF4-FFF2-40B4-BE49-F238E27FC236}">
                  <a16:creationId xmlns:a16="http://schemas.microsoft.com/office/drawing/2014/main" id="{7F46C990-2B47-F26A-7982-0E90460F3C18}"/>
                </a:ext>
              </a:extLst>
            </xdr:cNvPr>
            <xdr:cNvSpPr txBox="1"/>
          </xdr:nvSpPr>
          <xdr:spPr>
            <a:xfrm>
              <a:off x="5992812" y="13470006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C45B61C7-D5B6-495D-8272-8D4EE0146E4D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4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C31">
          <xdr:nvSpPr>
            <xdr:cNvPr id="111" name="TextBox 110">
              <a:extLst>
                <a:ext uri="{FF2B5EF4-FFF2-40B4-BE49-F238E27FC236}">
                  <a16:creationId xmlns:a16="http://schemas.microsoft.com/office/drawing/2014/main" id="{E6B41668-7C86-23E2-8042-A9202A9FFE2A}"/>
                </a:ext>
              </a:extLst>
            </xdr:cNvPr>
            <xdr:cNvSpPr txBox="1"/>
          </xdr:nvSpPr>
          <xdr:spPr>
            <a:xfrm>
              <a:off x="6430961" y="13471594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C9D51A31-A79A-48B6-B37F-6CB2571BC45B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22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7CAB52C9-3332-4EFE-8F7D-A3CE46AF1E29}"/>
              </a:ext>
            </a:extLst>
          </xdr:cNvPr>
          <xdr:cNvSpPr txBox="1"/>
        </xdr:nvSpPr>
        <xdr:spPr>
          <a:xfrm>
            <a:off x="4928706" y="14192249"/>
            <a:ext cx="73362" cy="372845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AU" sz="800">
              <a:solidFill>
                <a:schemeClr val="bg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4</xdr:col>
      <xdr:colOff>1529191</xdr:colOff>
      <xdr:row>14</xdr:row>
      <xdr:rowOff>2295769</xdr:rowOff>
    </xdr:from>
    <xdr:to>
      <xdr:col>4</xdr:col>
      <xdr:colOff>2409451</xdr:colOff>
      <xdr:row>14</xdr:row>
      <xdr:rowOff>2535972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49259A35-0602-4686-A934-F53295991A6E}"/>
            </a:ext>
          </a:extLst>
        </xdr:cNvPr>
        <xdr:cNvGrpSpPr/>
      </xdr:nvGrpSpPr>
      <xdr:grpSpPr>
        <a:xfrm>
          <a:off x="12197191" y="13471769"/>
          <a:ext cx="880260" cy="240203"/>
          <a:chOff x="5992812" y="13470006"/>
          <a:chExt cx="880260" cy="370395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9641438D-FA8C-6660-3290-DD2AF46D9291}"/>
              </a:ext>
            </a:extLst>
          </xdr:cNvPr>
          <xdr:cNvSpPr txBox="1"/>
        </xdr:nvSpPr>
        <xdr:spPr>
          <a:xfrm>
            <a:off x="5992812" y="13470006"/>
            <a:ext cx="442111" cy="36880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bg2">
                <a:lumMod val="9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AU" sz="800" b="1">
                <a:solidFill>
                  <a:schemeClr val="bg2">
                    <a:lumMod val="75000"/>
                  </a:schemeClr>
                </a:solidFill>
              </a:rPr>
              <a:t>pts</a:t>
            </a:r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41F9AC7F-1203-8A83-40AA-EA5B0DEAB0B7}"/>
              </a:ext>
            </a:extLst>
          </xdr:cNvPr>
          <xdr:cNvSpPr txBox="1"/>
        </xdr:nvSpPr>
        <xdr:spPr>
          <a:xfrm>
            <a:off x="6430961" y="13471594"/>
            <a:ext cx="442111" cy="36880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bg2">
                <a:lumMod val="9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AU" sz="800" b="1">
                <a:solidFill>
                  <a:schemeClr val="bg2">
                    <a:lumMod val="75000"/>
                  </a:schemeClr>
                </a:solidFill>
              </a:rPr>
              <a:t>%</a:t>
            </a:r>
          </a:p>
        </xdr:txBody>
      </xdr:sp>
    </xdr:grpSp>
    <xdr:clientData/>
  </xdr:twoCellAnchor>
  <xdr:twoCellAnchor>
    <xdr:from>
      <xdr:col>4</xdr:col>
      <xdr:colOff>464039</xdr:colOff>
      <xdr:row>14</xdr:row>
      <xdr:rowOff>2523186</xdr:rowOff>
    </xdr:from>
    <xdr:to>
      <xdr:col>4</xdr:col>
      <xdr:colOff>2408405</xdr:colOff>
      <xdr:row>14</xdr:row>
      <xdr:rowOff>2899206</xdr:rowOff>
    </xdr:to>
    <xdr:grpSp>
      <xdr:nvGrpSpPr>
        <xdr:cNvPr id="152" name="Group 151">
          <a:extLst>
            <a:ext uri="{FF2B5EF4-FFF2-40B4-BE49-F238E27FC236}">
              <a16:creationId xmlns:a16="http://schemas.microsoft.com/office/drawing/2014/main" id="{F86EFF13-51D8-40A2-A80A-5E2540901DD0}"/>
            </a:ext>
          </a:extLst>
        </xdr:cNvPr>
        <xdr:cNvGrpSpPr/>
      </xdr:nvGrpSpPr>
      <xdr:grpSpPr>
        <a:xfrm>
          <a:off x="11132039" y="13699186"/>
          <a:ext cx="1944366" cy="376020"/>
          <a:chOff x="4928706" y="13473112"/>
          <a:chExt cx="1944366" cy="376020"/>
        </a:xfrm>
      </xdr:grpSpPr>
      <xdr:grpSp>
        <xdr:nvGrpSpPr>
          <xdr:cNvPr id="153" name="Group 152">
            <a:extLst>
              <a:ext uri="{FF2B5EF4-FFF2-40B4-BE49-F238E27FC236}">
                <a16:creationId xmlns:a16="http://schemas.microsoft.com/office/drawing/2014/main" id="{EC8E2E27-8FDF-4322-B5EC-C926F5F0E338}"/>
              </a:ext>
            </a:extLst>
          </xdr:cNvPr>
          <xdr:cNvGrpSpPr/>
        </xdr:nvGrpSpPr>
        <xdr:grpSpPr>
          <a:xfrm>
            <a:off x="4984212" y="13477150"/>
            <a:ext cx="1888860" cy="371982"/>
            <a:chOff x="4984212" y="13468419"/>
            <a:chExt cx="1888860" cy="371982"/>
          </a:xfrm>
        </xdr:grpSpPr>
        <xdr:sp macro="" textlink="'Sprint Summary | data'!I74">
          <xdr:nvSpPr>
            <xdr:cNvPr id="155" name="TextBox 154">
              <a:extLst>
                <a:ext uri="{FF2B5EF4-FFF2-40B4-BE49-F238E27FC236}">
                  <a16:creationId xmlns:a16="http://schemas.microsoft.com/office/drawing/2014/main" id="{A722CC1C-F1B7-82DD-D85F-B553496C242F}"/>
                </a:ext>
              </a:extLst>
            </xdr:cNvPr>
            <xdr:cNvSpPr txBox="1"/>
          </xdr:nvSpPr>
          <xdr:spPr>
            <a:xfrm>
              <a:off x="4984212" y="13468419"/>
              <a:ext cx="1016530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F235FBB9-AD3C-4F86-85AE-77F2ED64712C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r"/>
                <a:t>BAU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J74">
          <xdr:nvSpPr>
            <xdr:cNvPr id="156" name="TextBox 155">
              <a:extLst>
                <a:ext uri="{FF2B5EF4-FFF2-40B4-BE49-F238E27FC236}">
                  <a16:creationId xmlns:a16="http://schemas.microsoft.com/office/drawing/2014/main" id="{946B45E9-43C1-FF14-29E8-B94304A54082}"/>
                </a:ext>
              </a:extLst>
            </xdr:cNvPr>
            <xdr:cNvSpPr txBox="1"/>
          </xdr:nvSpPr>
          <xdr:spPr>
            <a:xfrm>
              <a:off x="5992812" y="13470006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59D71596-F494-4816-B5EC-4371891FF788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0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K74">
          <xdr:nvSpPr>
            <xdr:cNvPr id="157" name="TextBox 156">
              <a:extLst>
                <a:ext uri="{FF2B5EF4-FFF2-40B4-BE49-F238E27FC236}">
                  <a16:creationId xmlns:a16="http://schemas.microsoft.com/office/drawing/2014/main" id="{AE5FB376-204C-148A-4D9B-8FBCF6465EB0}"/>
                </a:ext>
              </a:extLst>
            </xdr:cNvPr>
            <xdr:cNvSpPr txBox="1"/>
          </xdr:nvSpPr>
          <xdr:spPr>
            <a:xfrm>
              <a:off x="6430961" y="13471594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75E454B4-9D75-489E-B223-9A82CA0CF018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0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sp macro="" textlink="">
        <xdr:nvSpPr>
          <xdr:cNvPr id="154" name="TextBox 153">
            <a:extLst>
              <a:ext uri="{FF2B5EF4-FFF2-40B4-BE49-F238E27FC236}">
                <a16:creationId xmlns:a16="http://schemas.microsoft.com/office/drawing/2014/main" id="{F754043E-0F19-9D0F-664C-9831559DD055}"/>
              </a:ext>
            </a:extLst>
          </xdr:cNvPr>
          <xdr:cNvSpPr txBox="1"/>
        </xdr:nvSpPr>
        <xdr:spPr>
          <a:xfrm>
            <a:off x="4928706" y="13473112"/>
            <a:ext cx="73362" cy="372845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AU" sz="800">
              <a:solidFill>
                <a:schemeClr val="bg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4</xdr:col>
      <xdr:colOff>464039</xdr:colOff>
      <xdr:row>14</xdr:row>
      <xdr:rowOff>2880373</xdr:rowOff>
    </xdr:from>
    <xdr:to>
      <xdr:col>4</xdr:col>
      <xdr:colOff>2409992</xdr:colOff>
      <xdr:row>14</xdr:row>
      <xdr:rowOff>3257981</xdr:rowOff>
    </xdr:to>
    <xdr:grpSp>
      <xdr:nvGrpSpPr>
        <xdr:cNvPr id="158" name="Group 157">
          <a:extLst>
            <a:ext uri="{FF2B5EF4-FFF2-40B4-BE49-F238E27FC236}">
              <a16:creationId xmlns:a16="http://schemas.microsoft.com/office/drawing/2014/main" id="{E46B199A-3BDA-4C84-B653-DDBD29ED9116}"/>
            </a:ext>
          </a:extLst>
        </xdr:cNvPr>
        <xdr:cNvGrpSpPr/>
      </xdr:nvGrpSpPr>
      <xdr:grpSpPr>
        <a:xfrm>
          <a:off x="11132039" y="14056373"/>
          <a:ext cx="1945953" cy="377608"/>
          <a:chOff x="4928706" y="13830299"/>
          <a:chExt cx="1945953" cy="377608"/>
        </a:xfrm>
      </xdr:grpSpPr>
      <xdr:grpSp>
        <xdr:nvGrpSpPr>
          <xdr:cNvPr id="171" name="Group 170">
            <a:extLst>
              <a:ext uri="{FF2B5EF4-FFF2-40B4-BE49-F238E27FC236}">
                <a16:creationId xmlns:a16="http://schemas.microsoft.com/office/drawing/2014/main" id="{7641F216-268E-0676-2616-DA92D1BAFF16}"/>
              </a:ext>
            </a:extLst>
          </xdr:cNvPr>
          <xdr:cNvGrpSpPr/>
        </xdr:nvGrpSpPr>
        <xdr:grpSpPr>
          <a:xfrm>
            <a:off x="4985799" y="13835925"/>
            <a:ext cx="1888860" cy="371982"/>
            <a:chOff x="4984212" y="13468419"/>
            <a:chExt cx="1888860" cy="371982"/>
          </a:xfrm>
        </xdr:grpSpPr>
        <xdr:sp macro="" textlink="'Sprint Summary | data'!I75">
          <xdr:nvSpPr>
            <xdr:cNvPr id="173" name="TextBox 172">
              <a:extLst>
                <a:ext uri="{FF2B5EF4-FFF2-40B4-BE49-F238E27FC236}">
                  <a16:creationId xmlns:a16="http://schemas.microsoft.com/office/drawing/2014/main" id="{C755487A-58BC-C2EB-AC47-99105E4F6F54}"/>
                </a:ext>
              </a:extLst>
            </xdr:cNvPr>
            <xdr:cNvSpPr txBox="1"/>
          </xdr:nvSpPr>
          <xdr:spPr>
            <a:xfrm>
              <a:off x="4984212" y="13468419"/>
              <a:ext cx="1016530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9C317930-4D60-42AE-9A0A-8180259E524C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r"/>
                <a:t>Improvement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J75">
          <xdr:nvSpPr>
            <xdr:cNvPr id="175" name="TextBox 174">
              <a:extLst>
                <a:ext uri="{FF2B5EF4-FFF2-40B4-BE49-F238E27FC236}">
                  <a16:creationId xmlns:a16="http://schemas.microsoft.com/office/drawing/2014/main" id="{8426F2A0-7BAC-FABA-AE84-8A8B8A6F6F7D}"/>
                </a:ext>
              </a:extLst>
            </xdr:cNvPr>
            <xdr:cNvSpPr txBox="1"/>
          </xdr:nvSpPr>
          <xdr:spPr>
            <a:xfrm>
              <a:off x="5992812" y="13470006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73D5017D-E0F5-420F-A64F-1E67D0D31504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11.5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K75">
          <xdr:nvSpPr>
            <xdr:cNvPr id="176" name="TextBox 175">
              <a:extLst>
                <a:ext uri="{FF2B5EF4-FFF2-40B4-BE49-F238E27FC236}">
                  <a16:creationId xmlns:a16="http://schemas.microsoft.com/office/drawing/2014/main" id="{F0D1C42A-0FBE-A076-8876-19C25DC9D61C}"/>
                </a:ext>
              </a:extLst>
            </xdr:cNvPr>
            <xdr:cNvSpPr txBox="1"/>
          </xdr:nvSpPr>
          <xdr:spPr>
            <a:xfrm>
              <a:off x="6430961" y="13471594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D28B754F-049D-439F-A2BD-BFFB730CA556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100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DBB35ABE-9A1A-FCFC-EEEC-779B56532A32}"/>
              </a:ext>
            </a:extLst>
          </xdr:cNvPr>
          <xdr:cNvSpPr txBox="1"/>
        </xdr:nvSpPr>
        <xdr:spPr>
          <a:xfrm>
            <a:off x="4928706" y="13830299"/>
            <a:ext cx="73362" cy="37284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AU" sz="800">
              <a:solidFill>
                <a:schemeClr val="bg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11</xdr:col>
      <xdr:colOff>1642820</xdr:colOff>
      <xdr:row>14</xdr:row>
      <xdr:rowOff>1930087</xdr:rowOff>
    </xdr:from>
    <xdr:to>
      <xdr:col>11</xdr:col>
      <xdr:colOff>2523080</xdr:colOff>
      <xdr:row>14</xdr:row>
      <xdr:rowOff>2170290</xdr:rowOff>
    </xdr:to>
    <xdr:grpSp>
      <xdr:nvGrpSpPr>
        <xdr:cNvPr id="177" name="Group 176">
          <a:extLst>
            <a:ext uri="{FF2B5EF4-FFF2-40B4-BE49-F238E27FC236}">
              <a16:creationId xmlns:a16="http://schemas.microsoft.com/office/drawing/2014/main" id="{3641EB25-5989-420B-A3D6-7A7DDDDE7EE4}"/>
            </a:ext>
          </a:extLst>
        </xdr:cNvPr>
        <xdr:cNvGrpSpPr/>
      </xdr:nvGrpSpPr>
      <xdr:grpSpPr>
        <a:xfrm>
          <a:off x="21164534" y="13106087"/>
          <a:ext cx="880260" cy="240203"/>
          <a:chOff x="5992812" y="13470006"/>
          <a:chExt cx="880260" cy="370395"/>
        </a:xfrm>
      </xdr:grpSpPr>
      <xdr:sp macro="" textlink="">
        <xdr:nvSpPr>
          <xdr:cNvPr id="178" name="TextBox 177">
            <a:extLst>
              <a:ext uri="{FF2B5EF4-FFF2-40B4-BE49-F238E27FC236}">
                <a16:creationId xmlns:a16="http://schemas.microsoft.com/office/drawing/2014/main" id="{94793E06-CF02-E70E-CCC8-70096915D83A}"/>
              </a:ext>
            </a:extLst>
          </xdr:cNvPr>
          <xdr:cNvSpPr txBox="1"/>
        </xdr:nvSpPr>
        <xdr:spPr>
          <a:xfrm>
            <a:off x="5992812" y="13470006"/>
            <a:ext cx="442111" cy="36880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bg2">
                <a:lumMod val="9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AU" sz="800" b="1">
                <a:solidFill>
                  <a:schemeClr val="bg2">
                    <a:lumMod val="75000"/>
                  </a:schemeClr>
                </a:solidFill>
              </a:rPr>
              <a:t>pts</a:t>
            </a:r>
          </a:p>
        </xdr:txBody>
      </xdr:sp>
      <xdr:sp macro="" textlink="">
        <xdr:nvSpPr>
          <xdr:cNvPr id="179" name="TextBox 178">
            <a:extLst>
              <a:ext uri="{FF2B5EF4-FFF2-40B4-BE49-F238E27FC236}">
                <a16:creationId xmlns:a16="http://schemas.microsoft.com/office/drawing/2014/main" id="{F5CF2452-A880-19B3-B25E-E3EB399B1B4D}"/>
              </a:ext>
            </a:extLst>
          </xdr:cNvPr>
          <xdr:cNvSpPr txBox="1"/>
        </xdr:nvSpPr>
        <xdr:spPr>
          <a:xfrm>
            <a:off x="6430961" y="13471594"/>
            <a:ext cx="442111" cy="36880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bg2">
                <a:lumMod val="9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AU" sz="800" b="1">
                <a:solidFill>
                  <a:schemeClr val="bg2">
                    <a:lumMod val="75000"/>
                  </a:schemeClr>
                </a:solidFill>
              </a:rPr>
              <a:t>%</a:t>
            </a:r>
          </a:p>
        </xdr:txBody>
      </xdr:sp>
    </xdr:grpSp>
    <xdr:clientData/>
  </xdr:twoCellAnchor>
  <xdr:twoCellAnchor>
    <xdr:from>
      <xdr:col>11</xdr:col>
      <xdr:colOff>577668</xdr:colOff>
      <xdr:row>14</xdr:row>
      <xdr:rowOff>2157504</xdr:rowOff>
    </xdr:from>
    <xdr:to>
      <xdr:col>11</xdr:col>
      <xdr:colOff>2522034</xdr:colOff>
      <xdr:row>14</xdr:row>
      <xdr:rowOff>2533524</xdr:rowOff>
    </xdr:to>
    <xdr:grpSp>
      <xdr:nvGrpSpPr>
        <xdr:cNvPr id="180" name="Group 179">
          <a:extLst>
            <a:ext uri="{FF2B5EF4-FFF2-40B4-BE49-F238E27FC236}">
              <a16:creationId xmlns:a16="http://schemas.microsoft.com/office/drawing/2014/main" id="{F2AC206B-A9E1-4458-937A-5993CF112CCC}"/>
            </a:ext>
          </a:extLst>
        </xdr:cNvPr>
        <xdr:cNvGrpSpPr/>
      </xdr:nvGrpSpPr>
      <xdr:grpSpPr>
        <a:xfrm>
          <a:off x="20099382" y="13333504"/>
          <a:ext cx="1944366" cy="376020"/>
          <a:chOff x="4928706" y="13473112"/>
          <a:chExt cx="1944366" cy="376020"/>
        </a:xfrm>
      </xdr:grpSpPr>
      <xdr:grpSp>
        <xdr:nvGrpSpPr>
          <xdr:cNvPr id="181" name="Group 180">
            <a:extLst>
              <a:ext uri="{FF2B5EF4-FFF2-40B4-BE49-F238E27FC236}">
                <a16:creationId xmlns:a16="http://schemas.microsoft.com/office/drawing/2014/main" id="{974CDCE9-EE68-3F36-9369-6EB91378085D}"/>
              </a:ext>
            </a:extLst>
          </xdr:cNvPr>
          <xdr:cNvGrpSpPr/>
        </xdr:nvGrpSpPr>
        <xdr:grpSpPr>
          <a:xfrm>
            <a:off x="4984212" y="13477150"/>
            <a:ext cx="1888860" cy="371982"/>
            <a:chOff x="4984212" y="13468419"/>
            <a:chExt cx="1888860" cy="371982"/>
          </a:xfrm>
        </xdr:grpSpPr>
        <xdr:sp macro="" textlink="'Sprint Summary | data'!Q40">
          <xdr:nvSpPr>
            <xdr:cNvPr id="185" name="TextBox 184">
              <a:extLst>
                <a:ext uri="{FF2B5EF4-FFF2-40B4-BE49-F238E27FC236}">
                  <a16:creationId xmlns:a16="http://schemas.microsoft.com/office/drawing/2014/main" id="{827CC682-5AC7-082F-05D7-0DE1EB7BFD14}"/>
                </a:ext>
              </a:extLst>
            </xdr:cNvPr>
            <xdr:cNvSpPr txBox="1"/>
          </xdr:nvSpPr>
          <xdr:spPr>
            <a:xfrm>
              <a:off x="4984212" y="13468419"/>
              <a:ext cx="1016530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C4FC4F5B-0F81-4CC6-BCCE-1392E3ECB1FA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r"/>
                <a:t>Cloud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R40">
          <xdr:nvSpPr>
            <xdr:cNvPr id="186" name="TextBox 185">
              <a:extLst>
                <a:ext uri="{FF2B5EF4-FFF2-40B4-BE49-F238E27FC236}">
                  <a16:creationId xmlns:a16="http://schemas.microsoft.com/office/drawing/2014/main" id="{5E86C790-4B6C-E621-37AB-D2C910347A82}"/>
                </a:ext>
              </a:extLst>
            </xdr:cNvPr>
            <xdr:cNvSpPr txBox="1"/>
          </xdr:nvSpPr>
          <xdr:spPr>
            <a:xfrm>
              <a:off x="5992812" y="13470006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FB138D66-0DBF-43CB-83DF-6431CED93D38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9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S40">
          <xdr:nvSpPr>
            <xdr:cNvPr id="188" name="TextBox 187">
              <a:extLst>
                <a:ext uri="{FF2B5EF4-FFF2-40B4-BE49-F238E27FC236}">
                  <a16:creationId xmlns:a16="http://schemas.microsoft.com/office/drawing/2014/main" id="{00C13B62-2D3E-DE7C-2B5F-2D793F8823FE}"/>
                </a:ext>
              </a:extLst>
            </xdr:cNvPr>
            <xdr:cNvSpPr txBox="1"/>
          </xdr:nvSpPr>
          <xdr:spPr>
            <a:xfrm>
              <a:off x="6430961" y="13471594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B22C83B-1412-48C0-920D-3396927F049D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38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14AC924E-1FB1-771C-337E-5DA46FC208BE}"/>
              </a:ext>
            </a:extLst>
          </xdr:cNvPr>
          <xdr:cNvSpPr txBox="1"/>
        </xdr:nvSpPr>
        <xdr:spPr>
          <a:xfrm>
            <a:off x="4928706" y="13473112"/>
            <a:ext cx="73362" cy="372845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AU" sz="800">
              <a:solidFill>
                <a:schemeClr val="bg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11</xdr:col>
      <xdr:colOff>577668</xdr:colOff>
      <xdr:row>14</xdr:row>
      <xdr:rowOff>2514691</xdr:rowOff>
    </xdr:from>
    <xdr:to>
      <xdr:col>11</xdr:col>
      <xdr:colOff>2523621</xdr:colOff>
      <xdr:row>14</xdr:row>
      <xdr:rowOff>2892299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5C136EEE-0573-4E8B-B0E6-80579E002EA9}"/>
            </a:ext>
          </a:extLst>
        </xdr:cNvPr>
        <xdr:cNvGrpSpPr/>
      </xdr:nvGrpSpPr>
      <xdr:grpSpPr>
        <a:xfrm>
          <a:off x="20099382" y="13690691"/>
          <a:ext cx="1945953" cy="377608"/>
          <a:chOff x="4928706" y="13830299"/>
          <a:chExt cx="1945953" cy="377608"/>
        </a:xfrm>
      </xdr:grpSpPr>
      <xdr:grpSp>
        <xdr:nvGrpSpPr>
          <xdr:cNvPr id="190" name="Group 189">
            <a:extLst>
              <a:ext uri="{FF2B5EF4-FFF2-40B4-BE49-F238E27FC236}">
                <a16:creationId xmlns:a16="http://schemas.microsoft.com/office/drawing/2014/main" id="{FFB622B1-9619-E3B0-C91F-F8D1067EA655}"/>
              </a:ext>
            </a:extLst>
          </xdr:cNvPr>
          <xdr:cNvGrpSpPr/>
        </xdr:nvGrpSpPr>
        <xdr:grpSpPr>
          <a:xfrm>
            <a:off x="4985799" y="13835925"/>
            <a:ext cx="1888860" cy="371982"/>
            <a:chOff x="4984212" y="13468419"/>
            <a:chExt cx="1888860" cy="371982"/>
          </a:xfrm>
        </xdr:grpSpPr>
        <xdr:sp macro="" textlink="'Sprint Summary | data'!Q41">
          <xdr:nvSpPr>
            <xdr:cNvPr id="193" name="TextBox 192">
              <a:extLst>
                <a:ext uri="{FF2B5EF4-FFF2-40B4-BE49-F238E27FC236}">
                  <a16:creationId xmlns:a16="http://schemas.microsoft.com/office/drawing/2014/main" id="{7F16BCE0-0CCD-FA05-BEDA-B0BBF474B981}"/>
                </a:ext>
              </a:extLst>
            </xdr:cNvPr>
            <xdr:cNvSpPr txBox="1"/>
          </xdr:nvSpPr>
          <xdr:spPr>
            <a:xfrm>
              <a:off x="4984212" y="13468419"/>
              <a:ext cx="1016530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770F2C65-08B5-4A48-B8F1-25ECA0B661E2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r"/>
                <a:t>Dataverse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R41">
          <xdr:nvSpPr>
            <xdr:cNvPr id="197" name="TextBox 196">
              <a:extLst>
                <a:ext uri="{FF2B5EF4-FFF2-40B4-BE49-F238E27FC236}">
                  <a16:creationId xmlns:a16="http://schemas.microsoft.com/office/drawing/2014/main" id="{A77906CB-D5FC-1CC5-8834-B37F5AA86C49}"/>
                </a:ext>
              </a:extLst>
            </xdr:cNvPr>
            <xdr:cNvSpPr txBox="1"/>
          </xdr:nvSpPr>
          <xdr:spPr>
            <a:xfrm>
              <a:off x="5992812" y="13470006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AD4916F0-8D72-41D3-87F5-B41EF9C1DC3E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14.5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S41">
          <xdr:nvSpPr>
            <xdr:cNvPr id="198" name="TextBox 197">
              <a:extLst>
                <a:ext uri="{FF2B5EF4-FFF2-40B4-BE49-F238E27FC236}">
                  <a16:creationId xmlns:a16="http://schemas.microsoft.com/office/drawing/2014/main" id="{E4142C23-5F73-F4F2-D197-C61BDDC5D674}"/>
                </a:ext>
              </a:extLst>
            </xdr:cNvPr>
            <xdr:cNvSpPr txBox="1"/>
          </xdr:nvSpPr>
          <xdr:spPr>
            <a:xfrm>
              <a:off x="6430961" y="13471594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C41ED659-1259-449B-BBBF-6852556066DD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62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DC2154D4-0AE1-81EF-59B7-3CD239693B7D}"/>
              </a:ext>
            </a:extLst>
          </xdr:cNvPr>
          <xdr:cNvSpPr txBox="1"/>
        </xdr:nvSpPr>
        <xdr:spPr>
          <a:xfrm>
            <a:off x="4928706" y="13830299"/>
            <a:ext cx="73362" cy="372845"/>
          </a:xfrm>
          <a:prstGeom prst="rect">
            <a:avLst/>
          </a:prstGeom>
          <a:solidFill>
            <a:srgbClr val="9966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AU" sz="800">
              <a:solidFill>
                <a:schemeClr val="bg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11</xdr:col>
      <xdr:colOff>577668</xdr:colOff>
      <xdr:row>14</xdr:row>
      <xdr:rowOff>2875376</xdr:rowOff>
    </xdr:from>
    <xdr:to>
      <xdr:col>11</xdr:col>
      <xdr:colOff>2524701</xdr:colOff>
      <xdr:row>14</xdr:row>
      <xdr:rowOff>3249486</xdr:rowOff>
    </xdr:to>
    <xdr:grpSp>
      <xdr:nvGrpSpPr>
        <xdr:cNvPr id="199" name="Group 198">
          <a:extLst>
            <a:ext uri="{FF2B5EF4-FFF2-40B4-BE49-F238E27FC236}">
              <a16:creationId xmlns:a16="http://schemas.microsoft.com/office/drawing/2014/main" id="{5FCE45AF-33DC-4B72-BABE-D3BED1794B3F}"/>
            </a:ext>
          </a:extLst>
        </xdr:cNvPr>
        <xdr:cNvGrpSpPr/>
      </xdr:nvGrpSpPr>
      <xdr:grpSpPr>
        <a:xfrm>
          <a:off x="20099382" y="14051376"/>
          <a:ext cx="1947033" cy="374110"/>
          <a:chOff x="4928706" y="14190984"/>
          <a:chExt cx="1947033" cy="374110"/>
        </a:xfrm>
      </xdr:grpSpPr>
      <xdr:grpSp>
        <xdr:nvGrpSpPr>
          <xdr:cNvPr id="200" name="Group 199">
            <a:extLst>
              <a:ext uri="{FF2B5EF4-FFF2-40B4-BE49-F238E27FC236}">
                <a16:creationId xmlns:a16="http://schemas.microsoft.com/office/drawing/2014/main" id="{97750636-DC29-6CB3-7DE3-9EB7CBB9E0B3}"/>
              </a:ext>
            </a:extLst>
          </xdr:cNvPr>
          <xdr:cNvGrpSpPr/>
        </xdr:nvGrpSpPr>
        <xdr:grpSpPr>
          <a:xfrm>
            <a:off x="4986879" y="14190984"/>
            <a:ext cx="1888860" cy="371982"/>
            <a:chOff x="4984212" y="13468419"/>
            <a:chExt cx="1888860" cy="371982"/>
          </a:xfrm>
        </xdr:grpSpPr>
        <xdr:sp macro="" textlink="'Sprint Summary | data'!Q42">
          <xdr:nvSpPr>
            <xdr:cNvPr id="202" name="TextBox 201">
              <a:extLst>
                <a:ext uri="{FF2B5EF4-FFF2-40B4-BE49-F238E27FC236}">
                  <a16:creationId xmlns:a16="http://schemas.microsoft.com/office/drawing/2014/main" id="{DD38FAFC-EEAF-A1EC-F01F-EAD4626DC307}"/>
                </a:ext>
              </a:extLst>
            </xdr:cNvPr>
            <xdr:cNvSpPr txBox="1"/>
          </xdr:nvSpPr>
          <xdr:spPr>
            <a:xfrm>
              <a:off x="4984212" y="13468419"/>
              <a:ext cx="1016530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F95FEE8B-B0E9-4ABB-B29B-5827101A480A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r"/>
                <a:t>Architecture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R42">
          <xdr:nvSpPr>
            <xdr:cNvPr id="203" name="TextBox 202">
              <a:extLst>
                <a:ext uri="{FF2B5EF4-FFF2-40B4-BE49-F238E27FC236}">
                  <a16:creationId xmlns:a16="http://schemas.microsoft.com/office/drawing/2014/main" id="{C2F418FF-6169-CF9A-82AD-2B19F68790AB}"/>
                </a:ext>
              </a:extLst>
            </xdr:cNvPr>
            <xdr:cNvSpPr txBox="1"/>
          </xdr:nvSpPr>
          <xdr:spPr>
            <a:xfrm>
              <a:off x="5992812" y="13470006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C04AC73-3CEC-4E0E-95AF-17D3B3E71832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0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  <xdr:sp macro="" textlink="'Sprint Summary | data'!S42">
          <xdr:nvSpPr>
            <xdr:cNvPr id="204" name="TextBox 203">
              <a:extLst>
                <a:ext uri="{FF2B5EF4-FFF2-40B4-BE49-F238E27FC236}">
                  <a16:creationId xmlns:a16="http://schemas.microsoft.com/office/drawing/2014/main" id="{D7BA41FB-91CA-1729-4813-90F9797F9301}"/>
                </a:ext>
              </a:extLst>
            </xdr:cNvPr>
            <xdr:cNvSpPr txBox="1"/>
          </xdr:nvSpPr>
          <xdr:spPr>
            <a:xfrm>
              <a:off x="6430961" y="13471594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E1A50D27-1723-4149-AE0C-C620BFA10CBD}" type="TxLink">
                <a:rPr lang="en-US" sz="11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cs typeface="Calibri"/>
                </a:rPr>
                <a:pPr algn="ctr"/>
                <a:t>0</a:t>
              </a:fld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44EFF817-2BD3-A5AE-A156-ABB72D45AF92}"/>
              </a:ext>
            </a:extLst>
          </xdr:cNvPr>
          <xdr:cNvSpPr txBox="1"/>
        </xdr:nvSpPr>
        <xdr:spPr>
          <a:xfrm>
            <a:off x="4928706" y="14192249"/>
            <a:ext cx="73362" cy="372845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AU" sz="800">
              <a:solidFill>
                <a:schemeClr val="bg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82572</xdr:colOff>
      <xdr:row>3</xdr:row>
      <xdr:rowOff>1036599</xdr:rowOff>
    </xdr:from>
    <xdr:to>
      <xdr:col>8</xdr:col>
      <xdr:colOff>659174</xdr:colOff>
      <xdr:row>4</xdr:row>
      <xdr:rowOff>2225707</xdr:rowOff>
    </xdr:to>
    <xdr:grpSp>
      <xdr:nvGrpSpPr>
        <xdr:cNvPr id="106" name="Group 105">
          <a:extLst>
            <a:ext uri="{FF2B5EF4-FFF2-40B4-BE49-F238E27FC236}">
              <a16:creationId xmlns:a16="http://schemas.microsoft.com/office/drawing/2014/main" id="{E26A8C2A-7153-FB5A-93FA-D32DF8596976}"/>
            </a:ext>
          </a:extLst>
        </xdr:cNvPr>
        <xdr:cNvGrpSpPr/>
      </xdr:nvGrpSpPr>
      <xdr:grpSpPr>
        <a:xfrm>
          <a:off x="13526429" y="3431456"/>
          <a:ext cx="4314031" cy="4273394"/>
          <a:chOff x="12437858" y="3458670"/>
          <a:chExt cx="4000159" cy="4286094"/>
        </a:xfrm>
      </xdr:grpSpPr>
      <xdr:grpSp>
        <xdr:nvGrpSpPr>
          <xdr:cNvPr id="116" name="Group 115">
            <a:extLst>
              <a:ext uri="{FF2B5EF4-FFF2-40B4-BE49-F238E27FC236}">
                <a16:creationId xmlns:a16="http://schemas.microsoft.com/office/drawing/2014/main" id="{D21FF04E-A424-6F5C-9C42-5E5AA796478D}"/>
              </a:ext>
            </a:extLst>
          </xdr:cNvPr>
          <xdr:cNvGrpSpPr/>
        </xdr:nvGrpSpPr>
        <xdr:grpSpPr>
          <a:xfrm>
            <a:off x="12441033" y="3461845"/>
            <a:ext cx="3993809" cy="4282919"/>
            <a:chOff x="10242572" y="2661895"/>
            <a:chExt cx="3611602" cy="4283186"/>
          </a:xfrm>
        </xdr:grpSpPr>
        <xdr:sp macro="" textlink="'Sprint Summary | data'!R19">
          <xdr:nvSpPr>
            <xdr:cNvPr id="62" name="TextBox 61">
              <a:extLst>
                <a:ext uri="{FF2B5EF4-FFF2-40B4-BE49-F238E27FC236}">
                  <a16:creationId xmlns:a16="http://schemas.microsoft.com/office/drawing/2014/main" id="{BCBF0FC9-C86B-45C4-8BE1-5C2307FE5677}"/>
                </a:ext>
              </a:extLst>
            </xdr:cNvPr>
            <xdr:cNvSpPr txBox="1"/>
          </xdr:nvSpPr>
          <xdr:spPr>
            <a:xfrm>
              <a:off x="11225989" y="3757885"/>
              <a:ext cx="1671908" cy="3965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2B9BAC00-E6FC-428B-84D7-74C06E98E0B6}" type="TxLink">
                <a:rPr lang="en-US" sz="4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26.5</a:t>
              </a:fld>
              <a:endParaRPr lang="en-AU" sz="40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20">
          <xdr:nvSpPr>
            <xdr:cNvPr id="72" name="TextBox 71">
              <a:extLst>
                <a:ext uri="{FF2B5EF4-FFF2-40B4-BE49-F238E27FC236}">
                  <a16:creationId xmlns:a16="http://schemas.microsoft.com/office/drawing/2014/main" id="{4808597A-EE7F-4B03-9EDE-3B50B4C10834}"/>
                </a:ext>
              </a:extLst>
            </xdr:cNvPr>
            <xdr:cNvSpPr txBox="1"/>
          </xdr:nvSpPr>
          <xdr:spPr>
            <a:xfrm>
              <a:off x="11234026" y="4622055"/>
              <a:ext cx="1667046" cy="38136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46E753FA-9C79-4485-8B40-AB131980EF4F}" type="TxLink">
                <a:rPr lang="en-US" sz="4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79.5</a:t>
              </a:fld>
              <a:endParaRPr lang="en-AU" sz="40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21">
          <xdr:nvSpPr>
            <xdr:cNvPr id="73" name="TextBox 72">
              <a:extLst>
                <a:ext uri="{FF2B5EF4-FFF2-40B4-BE49-F238E27FC236}">
                  <a16:creationId xmlns:a16="http://schemas.microsoft.com/office/drawing/2014/main" id="{174C688A-12FB-4FA9-840D-8977B12BE290}"/>
                </a:ext>
              </a:extLst>
            </xdr:cNvPr>
            <xdr:cNvSpPr txBox="1"/>
          </xdr:nvSpPr>
          <xdr:spPr>
            <a:xfrm>
              <a:off x="10245603" y="6005457"/>
              <a:ext cx="1205341" cy="3751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34F87FA0-3C54-44F7-A70A-946D73CBE210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72.5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23">
          <xdr:nvSpPr>
            <xdr:cNvPr id="74" name="TextBox 73">
              <a:extLst>
                <a:ext uri="{FF2B5EF4-FFF2-40B4-BE49-F238E27FC236}">
                  <a16:creationId xmlns:a16="http://schemas.microsoft.com/office/drawing/2014/main" id="{0FDCCEF0-2A55-4DDB-837F-68DAC46F96F6}"/>
                </a:ext>
              </a:extLst>
            </xdr:cNvPr>
            <xdr:cNvSpPr txBox="1"/>
          </xdr:nvSpPr>
          <xdr:spPr>
            <a:xfrm>
              <a:off x="11479569" y="6000972"/>
              <a:ext cx="1191902" cy="38325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2F14E553-9C0A-42F7-ADE5-4DBB4C5CE298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15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#REF!">
          <xdr:nvSpPr>
            <xdr:cNvPr id="75" name="TextBox 74">
              <a:extLst>
                <a:ext uri="{FF2B5EF4-FFF2-40B4-BE49-F238E27FC236}">
                  <a16:creationId xmlns:a16="http://schemas.microsoft.com/office/drawing/2014/main" id="{F7C20FA3-20B2-4D1B-9CC7-42C3B8748CD4}"/>
                </a:ext>
              </a:extLst>
            </xdr:cNvPr>
            <xdr:cNvSpPr txBox="1"/>
          </xdr:nvSpPr>
          <xdr:spPr>
            <a:xfrm>
              <a:off x="12670955" y="6020062"/>
              <a:ext cx="1159676" cy="36062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B7CEC906-7727-4607-8207-F44889F61CAA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18">
          <xdr:nvSpPr>
            <xdr:cNvPr id="76" name="TextBox 75">
              <a:extLst>
                <a:ext uri="{FF2B5EF4-FFF2-40B4-BE49-F238E27FC236}">
                  <a16:creationId xmlns:a16="http://schemas.microsoft.com/office/drawing/2014/main" id="{595D0AD7-6AC4-4B6E-8A0E-B6C9477C5465}"/>
                </a:ext>
              </a:extLst>
            </xdr:cNvPr>
            <xdr:cNvSpPr txBox="1"/>
          </xdr:nvSpPr>
          <xdr:spPr>
            <a:xfrm>
              <a:off x="12801100" y="3126034"/>
              <a:ext cx="1031820" cy="537008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9D8D4748-9746-4546-93CC-3CC40D102B7C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53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S21">
          <xdr:nvSpPr>
            <xdr:cNvPr id="77" name="TextBox 76">
              <a:extLst>
                <a:ext uri="{FF2B5EF4-FFF2-40B4-BE49-F238E27FC236}">
                  <a16:creationId xmlns:a16="http://schemas.microsoft.com/office/drawing/2014/main" id="{DD94B211-53FD-4A5B-AE5F-07ED9D669ABD}"/>
                </a:ext>
              </a:extLst>
            </xdr:cNvPr>
            <xdr:cNvSpPr txBox="1"/>
          </xdr:nvSpPr>
          <xdr:spPr>
            <a:xfrm>
              <a:off x="10242572" y="6671724"/>
              <a:ext cx="1211691" cy="27335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F14B489C-94D5-44E9-8C1B-68EC706568EE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91</a:t>
              </a:fld>
              <a:endParaRPr lang="en-AU" sz="1800" b="1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S23">
          <xdr:nvSpPr>
            <xdr:cNvPr id="78" name="TextBox 77">
              <a:extLst>
                <a:ext uri="{FF2B5EF4-FFF2-40B4-BE49-F238E27FC236}">
                  <a16:creationId xmlns:a16="http://schemas.microsoft.com/office/drawing/2014/main" id="{C724B156-74B8-4A20-9186-9C96D21A8B64}"/>
                </a:ext>
              </a:extLst>
            </xdr:cNvPr>
            <xdr:cNvSpPr txBox="1"/>
          </xdr:nvSpPr>
          <xdr:spPr>
            <a:xfrm>
              <a:off x="11481631" y="6664085"/>
              <a:ext cx="1200364" cy="2778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B635763B-5289-4CED-BD52-0B73A3BEF409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19</a:t>
              </a:fld>
              <a:endParaRPr lang="en-AU" sz="1800" b="1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#REF!">
          <xdr:nvSpPr>
            <xdr:cNvPr id="79" name="TextBox 78">
              <a:extLst>
                <a:ext uri="{FF2B5EF4-FFF2-40B4-BE49-F238E27FC236}">
                  <a16:creationId xmlns:a16="http://schemas.microsoft.com/office/drawing/2014/main" id="{4C0BBDB3-9690-4B06-ADB8-27F77A16547E}"/>
                </a:ext>
              </a:extLst>
            </xdr:cNvPr>
            <xdr:cNvSpPr txBox="1"/>
          </xdr:nvSpPr>
          <xdr:spPr>
            <a:xfrm>
              <a:off x="12695521" y="6651149"/>
              <a:ext cx="1158653" cy="287363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9BCF5309-F25F-44CB-AA04-9B361EB0D3DF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1800" b="1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S18">
          <xdr:nvSpPr>
            <xdr:cNvPr id="80" name="TextBox 79">
              <a:extLst>
                <a:ext uri="{FF2B5EF4-FFF2-40B4-BE49-F238E27FC236}">
                  <a16:creationId xmlns:a16="http://schemas.microsoft.com/office/drawing/2014/main" id="{DC25F8B9-DDA5-4BC6-ADB0-42C358D0536D}"/>
                </a:ext>
              </a:extLst>
            </xdr:cNvPr>
            <xdr:cNvSpPr txBox="1"/>
          </xdr:nvSpPr>
          <xdr:spPr>
            <a:xfrm>
              <a:off x="12805034" y="2661895"/>
              <a:ext cx="1026341" cy="38049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79132F71-E5FC-46B5-8BCF-137586950ED6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67</a:t>
              </a:fld>
              <a:endParaRPr lang="en-AU" sz="1800" b="1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grpSp>
          <xdr:nvGrpSpPr>
            <xdr:cNvPr id="85" name="Group 84">
              <a:extLst>
                <a:ext uri="{FF2B5EF4-FFF2-40B4-BE49-F238E27FC236}">
                  <a16:creationId xmlns:a16="http://schemas.microsoft.com/office/drawing/2014/main" id="{F3A9DB76-E62B-70C1-8A4F-8A3D457BDC9B}"/>
                </a:ext>
              </a:extLst>
            </xdr:cNvPr>
            <xdr:cNvGrpSpPr/>
          </xdr:nvGrpSpPr>
          <xdr:grpSpPr>
            <a:xfrm>
              <a:off x="11223810" y="4139881"/>
              <a:ext cx="1674087" cy="467008"/>
              <a:chOff x="11060374" y="4133803"/>
              <a:chExt cx="1686398" cy="473358"/>
            </a:xfrm>
          </xdr:grpSpPr>
          <xdr:sp macro="" textlink="">
            <xdr:nvSpPr>
              <xdr:cNvPr id="81" name="Rectangle 80">
                <a:extLst>
                  <a:ext uri="{FF2B5EF4-FFF2-40B4-BE49-F238E27FC236}">
                    <a16:creationId xmlns:a16="http://schemas.microsoft.com/office/drawing/2014/main" id="{B9699013-7946-EECA-5346-F0840BF35E00}"/>
                  </a:ext>
                </a:extLst>
              </xdr:cNvPr>
              <xdr:cNvSpPr/>
            </xdr:nvSpPr>
            <xdr:spPr>
              <a:xfrm>
                <a:off x="11067156" y="4353856"/>
                <a:ext cx="1679171" cy="39369"/>
              </a:xfrm>
              <a:prstGeom prst="rect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AU" sz="1100"/>
              </a:p>
            </xdr:txBody>
          </xdr:sp>
          <xdr:sp macro="" textlink="">
            <xdr:nvSpPr>
              <xdr:cNvPr id="83" name="TextBox 82">
                <a:extLst>
                  <a:ext uri="{FF2B5EF4-FFF2-40B4-BE49-F238E27FC236}">
                    <a16:creationId xmlns:a16="http://schemas.microsoft.com/office/drawing/2014/main" id="{1D49E27D-9014-39C2-45EE-7DCD3962CDAE}"/>
                  </a:ext>
                </a:extLst>
              </xdr:cNvPr>
              <xdr:cNvSpPr txBox="1"/>
            </xdr:nvSpPr>
            <xdr:spPr>
              <a:xfrm>
                <a:off x="11060374" y="4133803"/>
                <a:ext cx="1686398" cy="21608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AU" sz="1000">
                    <a:solidFill>
                      <a:schemeClr val="bg2">
                        <a:lumMod val="75000"/>
                      </a:schemeClr>
                    </a:solidFill>
                  </a:rPr>
                  <a:t>completed</a:t>
                </a:r>
              </a:p>
            </xdr:txBody>
          </xdr:sp>
          <xdr:sp macro="" textlink="">
            <xdr:nvSpPr>
              <xdr:cNvPr id="84" name="TextBox 83">
                <a:extLst>
                  <a:ext uri="{FF2B5EF4-FFF2-40B4-BE49-F238E27FC236}">
                    <a16:creationId xmlns:a16="http://schemas.microsoft.com/office/drawing/2014/main" id="{383B10C2-DADA-4D01-8C3B-1E2B19BF59FF}"/>
                  </a:ext>
                </a:extLst>
              </xdr:cNvPr>
              <xdr:cNvSpPr txBox="1"/>
            </xdr:nvSpPr>
            <xdr:spPr>
              <a:xfrm>
                <a:off x="11068096" y="4397422"/>
                <a:ext cx="1676872" cy="20973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AU" sz="1000">
                    <a:solidFill>
                      <a:schemeClr val="bg2">
                        <a:lumMod val="75000"/>
                      </a:schemeClr>
                    </a:solidFill>
                  </a:rPr>
                  <a:t>planned</a:t>
                </a:r>
              </a:p>
            </xdr:txBody>
          </xdr:sp>
        </xdr:grp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20AF7604-763D-429A-B987-BD647B98D18D}"/>
                </a:ext>
              </a:extLst>
            </xdr:cNvPr>
            <xdr:cNvSpPr txBox="1"/>
          </xdr:nvSpPr>
          <xdr:spPr>
            <a:xfrm>
              <a:off x="10406611" y="6268489"/>
              <a:ext cx="866442" cy="4948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committed at start of sprint</a:t>
              </a:r>
            </a:p>
          </xdr:txBody>
        </xdr:sp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5E744A72-F2A3-401E-82B0-EE2C87ED76D4}"/>
                </a:ext>
              </a:extLst>
            </xdr:cNvPr>
            <xdr:cNvSpPr txBox="1"/>
          </xdr:nvSpPr>
          <xdr:spPr>
            <a:xfrm>
              <a:off x="11613139" y="6273682"/>
              <a:ext cx="877549" cy="4906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added after sprint start</a:t>
              </a:r>
            </a:p>
          </xdr:txBody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7B97001B-E272-466B-B683-BE60B57A78AE}"/>
                </a:ext>
              </a:extLst>
            </xdr:cNvPr>
            <xdr:cNvSpPr txBox="1"/>
          </xdr:nvSpPr>
          <xdr:spPr>
            <a:xfrm>
              <a:off x="12811946" y="6282235"/>
              <a:ext cx="873853" cy="484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removed</a:t>
              </a:r>
              <a:br>
                <a:rPr lang="en-AU" sz="1000">
                  <a:solidFill>
                    <a:schemeClr val="bg2">
                      <a:lumMod val="75000"/>
                    </a:schemeClr>
                  </a:solidFill>
                </a:rPr>
              </a:br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from sprint</a:t>
              </a:r>
            </a:p>
          </xdr:txBody>
        </xdr:sp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4A814783-82C7-42AB-AB6E-94D30502B122}"/>
                </a:ext>
              </a:extLst>
            </xdr:cNvPr>
            <xdr:cNvSpPr txBox="1"/>
          </xdr:nvSpPr>
          <xdr:spPr>
            <a:xfrm>
              <a:off x="12812927" y="2995868"/>
              <a:ext cx="1018449" cy="20063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no completed</a:t>
              </a:r>
            </a:p>
          </xdr:txBody>
        </xdr:sp>
        <xdr:cxnSp macro="">
          <xdr:nvCxnSpPr>
            <xdr:cNvPr id="91" name="Connector: Curved 90">
              <a:extLst>
                <a:ext uri="{FF2B5EF4-FFF2-40B4-BE49-F238E27FC236}">
                  <a16:creationId xmlns:a16="http://schemas.microsoft.com/office/drawing/2014/main" id="{A6E5BBC5-ADDE-F5D2-BBD7-926B1DA730C8}"/>
                </a:ext>
              </a:extLst>
            </xdr:cNvPr>
            <xdr:cNvCxnSpPr>
              <a:stCxn id="73" idx="0"/>
              <a:endCxn id="72" idx="2"/>
            </xdr:cNvCxnSpPr>
          </xdr:nvCxnSpPr>
          <xdr:spPr>
            <a:xfrm rot="5400000" flipH="1" flipV="1">
              <a:off x="10950659" y="4892559"/>
              <a:ext cx="1005217" cy="1220580"/>
            </a:xfrm>
            <a:prstGeom prst="curvedConnector3">
              <a:avLst>
                <a:gd name="adj1" fmla="val 50000"/>
              </a:avLst>
            </a:prstGeom>
            <a:ln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Connector: Curved 93">
              <a:extLst>
                <a:ext uri="{FF2B5EF4-FFF2-40B4-BE49-F238E27FC236}">
                  <a16:creationId xmlns:a16="http://schemas.microsoft.com/office/drawing/2014/main" id="{CCDE7B5D-B70C-F36A-7926-118C0017D764}"/>
                </a:ext>
              </a:extLst>
            </xdr:cNvPr>
            <xdr:cNvCxnSpPr>
              <a:stCxn id="74" idx="0"/>
              <a:endCxn id="72" idx="2"/>
            </xdr:cNvCxnSpPr>
          </xdr:nvCxnSpPr>
          <xdr:spPr>
            <a:xfrm rot="16200000" flipV="1">
              <a:off x="11570354" y="5493445"/>
              <a:ext cx="1000732" cy="14321"/>
            </a:xfrm>
            <a:prstGeom prst="curvedConnector3">
              <a:avLst>
                <a:gd name="adj1" fmla="val 50000"/>
              </a:avLst>
            </a:prstGeom>
            <a:ln>
              <a:tailEnd type="triangle" w="lg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6" name="Connector: Curved 95">
              <a:extLst>
                <a:ext uri="{FF2B5EF4-FFF2-40B4-BE49-F238E27FC236}">
                  <a16:creationId xmlns:a16="http://schemas.microsoft.com/office/drawing/2014/main" id="{4E2BBB42-8BEF-FDF0-1916-FCE3310F4AF3}"/>
                </a:ext>
              </a:extLst>
            </xdr:cNvPr>
            <xdr:cNvCxnSpPr>
              <a:stCxn id="72" idx="2"/>
              <a:endCxn id="75" idx="0"/>
            </xdr:cNvCxnSpPr>
          </xdr:nvCxnSpPr>
          <xdr:spPr>
            <a:xfrm rot="16200000" flipH="1">
              <a:off x="12146847" y="4916950"/>
              <a:ext cx="1019822" cy="1186399"/>
            </a:xfrm>
            <a:prstGeom prst="curvedConnector3">
              <a:avLst>
                <a:gd name="adj1" fmla="val 50000"/>
              </a:avLst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00FA7424-E09A-10A1-52C6-C7B5A9281331}"/>
                </a:ext>
              </a:extLst>
            </xdr:cNvPr>
            <xdr:cNvSpPr txBox="1"/>
          </xdr:nvSpPr>
          <xdr:spPr>
            <a:xfrm>
              <a:off x="11211647" y="5399478"/>
              <a:ext cx="229751" cy="21311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+</a:t>
              </a:r>
            </a:p>
          </xdr:txBody>
        </xdr:sp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815C99DA-8CA0-4C36-9556-DA7F525102EB}"/>
                </a:ext>
              </a:extLst>
            </xdr:cNvPr>
            <xdr:cNvSpPr txBox="1"/>
          </xdr:nvSpPr>
          <xdr:spPr>
            <a:xfrm>
              <a:off x="11952058" y="5500341"/>
              <a:ext cx="232926" cy="21311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+</a:t>
              </a:r>
            </a:p>
          </xdr:txBody>
        </xdr: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6C5F9516-872E-4D70-BBA4-F72E6160D664}"/>
                </a:ext>
              </a:extLst>
            </xdr:cNvPr>
            <xdr:cNvSpPr txBox="1"/>
          </xdr:nvSpPr>
          <xdr:spPr>
            <a:xfrm>
              <a:off x="12593467" y="5410972"/>
              <a:ext cx="239276" cy="21311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-</a:t>
              </a:r>
            </a:p>
          </xdr:txBody>
        </xdr:sp>
        <xdr:cxnSp macro="">
          <xdr:nvCxnSpPr>
            <xdr:cNvPr id="108" name="Connector: Curved 107">
              <a:extLst>
                <a:ext uri="{FF2B5EF4-FFF2-40B4-BE49-F238E27FC236}">
                  <a16:creationId xmlns:a16="http://schemas.microsoft.com/office/drawing/2014/main" id="{4CD84D97-3A53-4B29-8902-EC6360DF0A29}"/>
                </a:ext>
              </a:extLst>
            </xdr:cNvPr>
            <xdr:cNvCxnSpPr>
              <a:stCxn id="81" idx="3"/>
              <a:endCxn id="76" idx="2"/>
            </xdr:cNvCxnSpPr>
          </xdr:nvCxnSpPr>
          <xdr:spPr>
            <a:xfrm flipV="1">
              <a:off x="12900627" y="3659867"/>
              <a:ext cx="412372" cy="713402"/>
            </a:xfrm>
            <a:prstGeom prst="curvedConnector2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'Sprint Summary | data'!S19">
        <xdr:nvSpPr>
          <xdr:cNvPr id="9" name="TextBox 8">
            <a:extLst>
              <a:ext uri="{FF2B5EF4-FFF2-40B4-BE49-F238E27FC236}">
                <a16:creationId xmlns:a16="http://schemas.microsoft.com/office/drawing/2014/main" id="{280A10D9-0C79-43AC-9CA8-E5A7F2F8C380}"/>
              </a:ext>
            </a:extLst>
          </xdr:cNvPr>
          <xdr:cNvSpPr txBox="1"/>
        </xdr:nvSpPr>
        <xdr:spPr>
          <a:xfrm>
            <a:off x="13517790" y="3929743"/>
            <a:ext cx="1846036" cy="37096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ctr"/>
            <a:fld id="{95357BFC-1E16-4EC4-A8FC-20AD5EA6F15F}" type="TxLink">
              <a:rPr lang="en-US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rPr>
              <a:pPr marL="0" indent="0" algn="ctr"/>
              <a:t>33</a:t>
            </a:fld>
            <a:endParaRPr lang="en-AU" sz="18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9</xdr:col>
      <xdr:colOff>284304</xdr:colOff>
      <xdr:row>3</xdr:row>
      <xdr:rowOff>1036288</xdr:rowOff>
    </xdr:from>
    <xdr:to>
      <xdr:col>11</xdr:col>
      <xdr:colOff>2448913</xdr:colOff>
      <xdr:row>4</xdr:row>
      <xdr:rowOff>2277763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014EEC74-836E-C07A-B62A-085EC8488387}"/>
            </a:ext>
          </a:extLst>
        </xdr:cNvPr>
        <xdr:cNvGrpSpPr/>
      </xdr:nvGrpSpPr>
      <xdr:grpSpPr>
        <a:xfrm>
          <a:off x="18245733" y="3431145"/>
          <a:ext cx="3724894" cy="4325761"/>
          <a:chOff x="16776161" y="3458359"/>
          <a:chExt cx="3601523" cy="4338461"/>
        </a:xfrm>
      </xdr:grpSpPr>
      <xdr:grpSp>
        <xdr:nvGrpSpPr>
          <xdr:cNvPr id="159" name="Group 158">
            <a:extLst>
              <a:ext uri="{FF2B5EF4-FFF2-40B4-BE49-F238E27FC236}">
                <a16:creationId xmlns:a16="http://schemas.microsoft.com/office/drawing/2014/main" id="{630AFCC7-CF2E-53CD-F7DB-03832335F164}"/>
              </a:ext>
            </a:extLst>
          </xdr:cNvPr>
          <xdr:cNvGrpSpPr/>
        </xdr:nvGrpSpPr>
        <xdr:grpSpPr>
          <a:xfrm>
            <a:off x="16776161" y="3461534"/>
            <a:ext cx="3598348" cy="4332111"/>
            <a:chOff x="14011982" y="2671109"/>
            <a:chExt cx="3612222" cy="4329200"/>
          </a:xfrm>
        </xdr:grpSpPr>
        <xdr:sp macro="" textlink="'Sprint Summary | data'!T19">
          <xdr:nvSpPr>
            <xdr:cNvPr id="118" name="TextBox 117">
              <a:extLst>
                <a:ext uri="{FF2B5EF4-FFF2-40B4-BE49-F238E27FC236}">
                  <a16:creationId xmlns:a16="http://schemas.microsoft.com/office/drawing/2014/main" id="{4027490B-D383-7B68-7339-03BBE0349216}"/>
                </a:ext>
              </a:extLst>
            </xdr:cNvPr>
            <xdr:cNvSpPr txBox="1"/>
          </xdr:nvSpPr>
          <xdr:spPr>
            <a:xfrm>
              <a:off x="15002196" y="3763239"/>
              <a:ext cx="1667483" cy="39942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3DAEFD09-2E3D-46C1-BF9B-83421A803741}" type="TxLink">
                <a:rPr lang="en-US" sz="4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23</a:t>
              </a:fld>
              <a:endParaRPr lang="en-AU" sz="40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20">
          <xdr:nvSpPr>
            <xdr:cNvPr id="119" name="TextBox 118">
              <a:extLst>
                <a:ext uri="{FF2B5EF4-FFF2-40B4-BE49-F238E27FC236}">
                  <a16:creationId xmlns:a16="http://schemas.microsoft.com/office/drawing/2014/main" id="{52EE7E90-143C-3F66-6E8A-BE8EE3C75742}"/>
                </a:ext>
              </a:extLst>
            </xdr:cNvPr>
            <xdr:cNvSpPr txBox="1"/>
          </xdr:nvSpPr>
          <xdr:spPr>
            <a:xfrm>
              <a:off x="15013387" y="4620422"/>
              <a:ext cx="1656284" cy="381079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B03FC1F3-7D31-413B-B04C-39439B060B24}" type="TxLink">
                <a:rPr lang="en-US" sz="4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64</a:t>
              </a:fld>
              <a:endParaRPr lang="en-AU" sz="40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21">
          <xdr:nvSpPr>
            <xdr:cNvPr id="120" name="TextBox 119">
              <a:extLst>
                <a:ext uri="{FF2B5EF4-FFF2-40B4-BE49-F238E27FC236}">
                  <a16:creationId xmlns:a16="http://schemas.microsoft.com/office/drawing/2014/main" id="{FAC4582F-D080-EBAB-5E58-2A19659D0B7F}"/>
                </a:ext>
              </a:extLst>
            </xdr:cNvPr>
            <xdr:cNvSpPr txBox="1"/>
          </xdr:nvSpPr>
          <xdr:spPr>
            <a:xfrm>
              <a:off x="14015005" y="5918697"/>
              <a:ext cx="1211676" cy="549708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1330039E-B881-47E2-8367-193E0BFD7874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63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23">
          <xdr:nvSpPr>
            <xdr:cNvPr id="121" name="TextBox 120">
              <a:extLst>
                <a:ext uri="{FF2B5EF4-FFF2-40B4-BE49-F238E27FC236}">
                  <a16:creationId xmlns:a16="http://schemas.microsoft.com/office/drawing/2014/main" id="{46BC4467-3244-684A-7D0D-35AD086CB189}"/>
                </a:ext>
              </a:extLst>
            </xdr:cNvPr>
            <xdr:cNvSpPr txBox="1"/>
          </xdr:nvSpPr>
          <xdr:spPr>
            <a:xfrm>
              <a:off x="15245705" y="5933266"/>
              <a:ext cx="1198273" cy="527483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9A7E5D21-B262-4C68-A205-5ED5ED046BA7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9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#REF!">
          <xdr:nvSpPr>
            <xdr:cNvPr id="122" name="TextBox 121">
              <a:extLst>
                <a:ext uri="{FF2B5EF4-FFF2-40B4-BE49-F238E27FC236}">
                  <a16:creationId xmlns:a16="http://schemas.microsoft.com/office/drawing/2014/main" id="{2D2E9ED7-FDA1-3B82-4E4C-C9B5202B26E7}"/>
                </a:ext>
              </a:extLst>
            </xdr:cNvPr>
            <xdr:cNvSpPr txBox="1"/>
          </xdr:nvSpPr>
          <xdr:spPr>
            <a:xfrm>
              <a:off x="16440288" y="5936716"/>
              <a:ext cx="1156607" cy="530658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7D0047C9-7AA8-4997-A893-F0251AA2C29B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18">
          <xdr:nvSpPr>
            <xdr:cNvPr id="123" name="TextBox 122">
              <a:extLst>
                <a:ext uri="{FF2B5EF4-FFF2-40B4-BE49-F238E27FC236}">
                  <a16:creationId xmlns:a16="http://schemas.microsoft.com/office/drawing/2014/main" id="{535A7317-937B-CD3D-BD07-15ACC668D1D5}"/>
                </a:ext>
              </a:extLst>
            </xdr:cNvPr>
            <xdr:cNvSpPr txBox="1"/>
          </xdr:nvSpPr>
          <xdr:spPr>
            <a:xfrm>
              <a:off x="16595115" y="3135248"/>
              <a:ext cx="1029089" cy="527483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FA7713C0-E3D3-4482-8807-A28C5B292BE7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41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U21">
          <xdr:nvSpPr>
            <xdr:cNvPr id="124" name="TextBox 123">
              <a:extLst>
                <a:ext uri="{FF2B5EF4-FFF2-40B4-BE49-F238E27FC236}">
                  <a16:creationId xmlns:a16="http://schemas.microsoft.com/office/drawing/2014/main" id="{ABE98B06-8404-99F5-EB5A-E8871BE62DD0}"/>
                </a:ext>
              </a:extLst>
            </xdr:cNvPr>
            <xdr:cNvSpPr txBox="1"/>
          </xdr:nvSpPr>
          <xdr:spPr>
            <a:xfrm>
              <a:off x="14011982" y="6622075"/>
              <a:ext cx="1205309" cy="373452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E64CB1AF-34CE-42C2-98CC-9B324952E164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98</a:t>
              </a:fld>
              <a:endParaRPr lang="en-AU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U23">
          <xdr:nvSpPr>
            <xdr:cNvPr id="125" name="TextBox 124">
              <a:extLst>
                <a:ext uri="{FF2B5EF4-FFF2-40B4-BE49-F238E27FC236}">
                  <a16:creationId xmlns:a16="http://schemas.microsoft.com/office/drawing/2014/main" id="{68D57DA5-C3A4-0EB6-84EF-1EBD5F7FCDEC}"/>
                </a:ext>
              </a:extLst>
            </xdr:cNvPr>
            <xdr:cNvSpPr txBox="1"/>
          </xdr:nvSpPr>
          <xdr:spPr>
            <a:xfrm>
              <a:off x="15245874" y="6614203"/>
              <a:ext cx="1188731" cy="373452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60994E2B-485B-44AA-8226-6FB46995DEFB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14</a:t>
              </a:fld>
              <a:endParaRPr lang="en-AU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#REF!">
          <xdr:nvSpPr>
            <xdr:cNvPr id="126" name="TextBox 125">
              <a:extLst>
                <a:ext uri="{FF2B5EF4-FFF2-40B4-BE49-F238E27FC236}">
                  <a16:creationId xmlns:a16="http://schemas.microsoft.com/office/drawing/2014/main" id="{7AC81C44-C4AD-F2CE-9924-F4F73363841F}"/>
                </a:ext>
              </a:extLst>
            </xdr:cNvPr>
            <xdr:cNvSpPr txBox="1"/>
          </xdr:nvSpPr>
          <xdr:spPr>
            <a:xfrm>
              <a:off x="16457690" y="6622993"/>
              <a:ext cx="1143907" cy="37731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442E9114-807C-4528-96FE-2674012CDE39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U18">
          <xdr:nvSpPr>
            <xdr:cNvPr id="127" name="TextBox 126">
              <a:extLst>
                <a:ext uri="{FF2B5EF4-FFF2-40B4-BE49-F238E27FC236}">
                  <a16:creationId xmlns:a16="http://schemas.microsoft.com/office/drawing/2014/main" id="{02194774-0F27-326B-B33A-CCF9E15C2589}"/>
                </a:ext>
              </a:extLst>
            </xdr:cNvPr>
            <xdr:cNvSpPr txBox="1"/>
          </xdr:nvSpPr>
          <xdr:spPr>
            <a:xfrm>
              <a:off x="16592689" y="2671109"/>
              <a:ext cx="1029975" cy="3709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7EA71C29-20B0-42DA-A65B-C284B3CFB61C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64</a:t>
              </a:fld>
              <a:endParaRPr lang="en-AU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grpSp>
          <xdr:nvGrpSpPr>
            <xdr:cNvPr id="128" name="Group 127">
              <a:extLst>
                <a:ext uri="{FF2B5EF4-FFF2-40B4-BE49-F238E27FC236}">
                  <a16:creationId xmlns:a16="http://schemas.microsoft.com/office/drawing/2014/main" id="{88F51C3B-6807-C839-21BD-69823C43430E}"/>
                </a:ext>
              </a:extLst>
            </xdr:cNvPr>
            <xdr:cNvGrpSpPr/>
          </xdr:nvGrpSpPr>
          <xdr:grpSpPr>
            <a:xfrm>
              <a:off x="14993673" y="4144953"/>
              <a:ext cx="1679182" cy="469839"/>
              <a:chOff x="11060374" y="4133803"/>
              <a:chExt cx="1686398" cy="473358"/>
            </a:xfrm>
          </xdr:grpSpPr>
          <xdr:sp macro="" textlink="">
            <xdr:nvSpPr>
              <xdr:cNvPr id="140" name="Rectangle 139">
                <a:extLst>
                  <a:ext uri="{FF2B5EF4-FFF2-40B4-BE49-F238E27FC236}">
                    <a16:creationId xmlns:a16="http://schemas.microsoft.com/office/drawing/2014/main" id="{A172F03B-8D8B-3456-7605-E926ADDCFDEC}"/>
                  </a:ext>
                </a:extLst>
              </xdr:cNvPr>
              <xdr:cNvSpPr/>
            </xdr:nvSpPr>
            <xdr:spPr>
              <a:xfrm>
                <a:off x="11067156" y="4353856"/>
                <a:ext cx="1679171" cy="39369"/>
              </a:xfrm>
              <a:prstGeom prst="rect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AU" sz="1100"/>
              </a:p>
            </xdr:txBody>
          </xdr:sp>
          <xdr:sp macro="" textlink="">
            <xdr:nvSpPr>
              <xdr:cNvPr id="141" name="TextBox 140">
                <a:extLst>
                  <a:ext uri="{FF2B5EF4-FFF2-40B4-BE49-F238E27FC236}">
                    <a16:creationId xmlns:a16="http://schemas.microsoft.com/office/drawing/2014/main" id="{89B10F73-E581-BC89-8C40-191D7D421102}"/>
                  </a:ext>
                </a:extLst>
              </xdr:cNvPr>
              <xdr:cNvSpPr txBox="1"/>
            </xdr:nvSpPr>
            <xdr:spPr>
              <a:xfrm>
                <a:off x="11060374" y="4133803"/>
                <a:ext cx="1686398" cy="21608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AU" sz="1000">
                    <a:solidFill>
                      <a:schemeClr val="bg2">
                        <a:lumMod val="75000"/>
                      </a:schemeClr>
                    </a:solidFill>
                  </a:rPr>
                  <a:t>completed</a:t>
                </a:r>
              </a:p>
            </xdr:txBody>
          </xdr:sp>
          <xdr:sp macro="" textlink="">
            <xdr:nvSpPr>
              <xdr:cNvPr id="142" name="TextBox 141">
                <a:extLst>
                  <a:ext uri="{FF2B5EF4-FFF2-40B4-BE49-F238E27FC236}">
                    <a16:creationId xmlns:a16="http://schemas.microsoft.com/office/drawing/2014/main" id="{50F5DA3B-40AF-55B4-AEB9-D5A19FFA78FF}"/>
                  </a:ext>
                </a:extLst>
              </xdr:cNvPr>
              <xdr:cNvSpPr txBox="1"/>
            </xdr:nvSpPr>
            <xdr:spPr>
              <a:xfrm>
                <a:off x="11068096" y="4397422"/>
                <a:ext cx="1676872" cy="20973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AU" sz="1000">
                    <a:solidFill>
                      <a:schemeClr val="bg2">
                        <a:lumMod val="75000"/>
                      </a:schemeClr>
                    </a:solidFill>
                  </a:rPr>
                  <a:t>planned</a:t>
                </a:r>
              </a:p>
            </xdr:txBody>
          </xdr:sp>
        </xdr:grpSp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B243C3D7-7D17-049E-8481-477C08654C89}"/>
                </a:ext>
              </a:extLst>
            </xdr:cNvPr>
            <xdr:cNvSpPr txBox="1"/>
          </xdr:nvSpPr>
          <xdr:spPr>
            <a:xfrm>
              <a:off x="14111670" y="6275895"/>
              <a:ext cx="956561" cy="46374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committed at start of sprint</a:t>
              </a:r>
            </a:p>
          </xdr:txBody>
        </xdr:sp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252E6408-2EE5-1FC9-7C6F-F969F27318CA}"/>
                </a:ext>
              </a:extLst>
            </xdr:cNvPr>
            <xdr:cNvSpPr txBox="1"/>
          </xdr:nvSpPr>
          <xdr:spPr>
            <a:xfrm>
              <a:off x="15407416" y="6272895"/>
              <a:ext cx="872052" cy="46773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added after sprint start</a:t>
              </a:r>
            </a:p>
          </xdr:txBody>
        </xdr:sp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FD454294-6140-5F5F-4D49-E505251BBEFF}"/>
                </a:ext>
              </a:extLst>
            </xdr:cNvPr>
            <xdr:cNvSpPr txBox="1"/>
          </xdr:nvSpPr>
          <xdr:spPr>
            <a:xfrm>
              <a:off x="16599875" y="6285067"/>
              <a:ext cx="877890" cy="4575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removed</a:t>
              </a:r>
              <a:br>
                <a:rPr lang="en-AU" sz="1000">
                  <a:solidFill>
                    <a:schemeClr val="bg2">
                      <a:lumMod val="75000"/>
                    </a:schemeClr>
                  </a:solidFill>
                </a:rPr>
              </a:br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from sprint</a:t>
              </a:r>
            </a:p>
          </xdr:txBody>
        </xdr:sp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D2D3F851-BFAC-7968-CC3C-263926D05016}"/>
                </a:ext>
              </a:extLst>
            </xdr:cNvPr>
            <xdr:cNvSpPr txBox="1"/>
          </xdr:nvSpPr>
          <xdr:spPr>
            <a:xfrm>
              <a:off x="16594211" y="3011184"/>
              <a:ext cx="1018929" cy="1941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no completed</a:t>
              </a:r>
            </a:p>
          </xdr:txBody>
        </xdr:sp>
        <xdr:cxnSp macro="">
          <xdr:nvCxnSpPr>
            <xdr:cNvPr id="133" name="Connector: Curved 132">
              <a:extLst>
                <a:ext uri="{FF2B5EF4-FFF2-40B4-BE49-F238E27FC236}">
                  <a16:creationId xmlns:a16="http://schemas.microsoft.com/office/drawing/2014/main" id="{D73B9CBD-4B02-2C65-186D-D819D770061D}"/>
                </a:ext>
              </a:extLst>
            </xdr:cNvPr>
            <xdr:cNvCxnSpPr>
              <a:stCxn id="120" idx="0"/>
              <a:endCxn id="119" idx="2"/>
            </xdr:cNvCxnSpPr>
          </xdr:nvCxnSpPr>
          <xdr:spPr>
            <a:xfrm rot="5400000" flipH="1" flipV="1">
              <a:off x="14777351" y="4851343"/>
              <a:ext cx="910846" cy="1217511"/>
            </a:xfrm>
            <a:prstGeom prst="curvedConnector3">
              <a:avLst>
                <a:gd name="adj1" fmla="val 50000"/>
              </a:avLst>
            </a:prstGeom>
            <a:ln>
              <a:tailEnd type="none" w="lg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4" name="Connector: Curved 133">
              <a:extLst>
                <a:ext uri="{FF2B5EF4-FFF2-40B4-BE49-F238E27FC236}">
                  <a16:creationId xmlns:a16="http://schemas.microsoft.com/office/drawing/2014/main" id="{04CBEDB7-CD07-309B-53C3-E499BFAE727A}"/>
                </a:ext>
              </a:extLst>
            </xdr:cNvPr>
            <xdr:cNvCxnSpPr>
              <a:stCxn id="121" idx="0"/>
              <a:endCxn id="119" idx="2"/>
            </xdr:cNvCxnSpPr>
          </xdr:nvCxnSpPr>
          <xdr:spPr>
            <a:xfrm rot="16200000" flipV="1">
              <a:off x="15378891" y="5467315"/>
              <a:ext cx="931765" cy="6488"/>
            </a:xfrm>
            <a:prstGeom prst="curvedConnector3">
              <a:avLst>
                <a:gd name="adj1" fmla="val 50000"/>
              </a:avLst>
            </a:prstGeom>
            <a:ln>
              <a:tailEnd type="triangle" w="lg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5" name="Connector: Curved 134">
              <a:extLst>
                <a:ext uri="{FF2B5EF4-FFF2-40B4-BE49-F238E27FC236}">
                  <a16:creationId xmlns:a16="http://schemas.microsoft.com/office/drawing/2014/main" id="{779A7DEB-4DA9-2024-8032-F7D5DE8310D8}"/>
                </a:ext>
              </a:extLst>
            </xdr:cNvPr>
            <xdr:cNvCxnSpPr>
              <a:stCxn id="119" idx="2"/>
              <a:endCxn id="122" idx="0"/>
            </xdr:cNvCxnSpPr>
          </xdr:nvCxnSpPr>
          <xdr:spPr>
            <a:xfrm rot="16200000" flipH="1">
              <a:off x="15964040" y="4882164"/>
              <a:ext cx="928865" cy="1173888"/>
            </a:xfrm>
            <a:prstGeom prst="curvedConnector3">
              <a:avLst>
                <a:gd name="adj1" fmla="val 50000"/>
              </a:avLst>
            </a:prstGeom>
            <a:ln>
              <a:tailEnd type="triangl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BDDF2502-A984-37DC-CC3D-254FAF8F6944}"/>
                </a:ext>
              </a:extLst>
            </xdr:cNvPr>
            <xdr:cNvSpPr txBox="1"/>
          </xdr:nvSpPr>
          <xdr:spPr>
            <a:xfrm>
              <a:off x="14997168" y="5409847"/>
              <a:ext cx="229143" cy="21295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+</a:t>
              </a:r>
            </a:p>
          </xdr:txBody>
        </xdr:sp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346CFDB0-AD0B-B411-BCC1-2A99B902CFDB}"/>
                </a:ext>
              </a:extLst>
            </xdr:cNvPr>
            <xdr:cNvSpPr txBox="1"/>
          </xdr:nvSpPr>
          <xdr:spPr>
            <a:xfrm>
              <a:off x="15735745" y="5504405"/>
              <a:ext cx="229135" cy="21295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+</a:t>
              </a:r>
            </a:p>
          </xdr:txBody>
        </xdr: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655AB77C-707F-D963-FDA2-E493626DE539}"/>
                </a:ext>
              </a:extLst>
            </xdr:cNvPr>
            <xdr:cNvSpPr txBox="1"/>
          </xdr:nvSpPr>
          <xdr:spPr>
            <a:xfrm>
              <a:off x="16381681" y="5424508"/>
              <a:ext cx="232293" cy="206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-</a:t>
              </a:r>
            </a:p>
          </xdr:txBody>
        </xdr:sp>
        <xdr:cxnSp macro="">
          <xdr:nvCxnSpPr>
            <xdr:cNvPr id="139" name="Connector: Curved 138">
              <a:extLst>
                <a:ext uri="{FF2B5EF4-FFF2-40B4-BE49-F238E27FC236}">
                  <a16:creationId xmlns:a16="http://schemas.microsoft.com/office/drawing/2014/main" id="{3E45ECC4-EC9E-9E20-B63D-656469B25611}"/>
                </a:ext>
              </a:extLst>
            </xdr:cNvPr>
            <xdr:cNvCxnSpPr>
              <a:stCxn id="140" idx="3"/>
              <a:endCxn id="123" idx="2"/>
            </xdr:cNvCxnSpPr>
          </xdr:nvCxnSpPr>
          <xdr:spPr>
            <a:xfrm flipV="1">
              <a:off x="16669238" y="3659556"/>
              <a:ext cx="437247" cy="723311"/>
            </a:xfrm>
            <a:prstGeom prst="curvedConnector2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'Sprint Summary | data'!U19">
        <xdr:nvSpPr>
          <xdr:cNvPr id="17" name="TextBox 16">
            <a:extLst>
              <a:ext uri="{FF2B5EF4-FFF2-40B4-BE49-F238E27FC236}">
                <a16:creationId xmlns:a16="http://schemas.microsoft.com/office/drawing/2014/main" id="{2F3DC863-F5AA-4B31-BB0A-D65E8F62D6F7}"/>
              </a:ext>
            </a:extLst>
          </xdr:cNvPr>
          <xdr:cNvSpPr txBox="1"/>
        </xdr:nvSpPr>
        <xdr:spPr>
          <a:xfrm>
            <a:off x="17765486" y="3954688"/>
            <a:ext cx="1656896" cy="380491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ctr"/>
            <a:fld id="{137F6DCA-D03A-4BD1-81FE-2A5383C62E25}" type="TxLink">
              <a:rPr lang="en-US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rPr>
              <a:pPr marL="0" indent="0" algn="ctr"/>
              <a:t>36</a:t>
            </a:fld>
            <a:endParaRPr lang="en-AU" sz="18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2</xdr:col>
      <xdr:colOff>6292851</xdr:colOff>
      <xdr:row>14</xdr:row>
      <xdr:rowOff>635000</xdr:rowOff>
    </xdr:from>
    <xdr:to>
      <xdr:col>4</xdr:col>
      <xdr:colOff>1492250</xdr:colOff>
      <xdr:row>14</xdr:row>
      <xdr:rowOff>3092450</xdr:rowOff>
    </xdr:to>
    <xdr:graphicFrame macro="">
      <xdr:nvGraphicFramePr>
        <xdr:cNvPr id="208" name="Chart 207">
          <a:extLst>
            <a:ext uri="{FF2B5EF4-FFF2-40B4-BE49-F238E27FC236}">
              <a16:creationId xmlns:a16="http://schemas.microsoft.com/office/drawing/2014/main" id="{275CBA3A-BC65-4BFE-95B6-D4C5679B3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</xdr:col>
      <xdr:colOff>195786</xdr:colOff>
      <xdr:row>3</xdr:row>
      <xdr:rowOff>669637</xdr:rowOff>
    </xdr:from>
    <xdr:to>
      <xdr:col>2</xdr:col>
      <xdr:colOff>6410269</xdr:colOff>
      <xdr:row>3</xdr:row>
      <xdr:rowOff>2750994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31B66FAB-BA7C-4D1C-883F-9764C520B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150" y="3094182"/>
          <a:ext cx="6211308" cy="2078182"/>
        </a:xfrm>
        <a:prstGeom prst="rect">
          <a:avLst/>
        </a:prstGeom>
      </xdr:spPr>
    </xdr:pic>
    <xdr:clientData/>
  </xdr:twoCellAnchor>
  <xdr:twoCellAnchor editAs="oneCell">
    <xdr:from>
      <xdr:col>2</xdr:col>
      <xdr:colOff>46180</xdr:colOff>
      <xdr:row>4</xdr:row>
      <xdr:rowOff>679648</xdr:rowOff>
    </xdr:from>
    <xdr:to>
      <xdr:col>2</xdr:col>
      <xdr:colOff>6260664</xdr:colOff>
      <xdr:row>4</xdr:row>
      <xdr:rowOff>2448787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25DF14F2-8ED7-4FE0-BE2B-6D1643020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544" y="6198375"/>
          <a:ext cx="6211309" cy="1765964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0.28089</cdr:x>
      <cdr:y>0.52521</cdr:y>
    </cdr:from>
    <cdr:to>
      <cdr:x>0.48586</cdr:x>
      <cdr:y>0.72525</cdr:y>
    </cdr:to>
    <cdr:sp macro="" textlink="'Sprint Summary | data'!$K$59">
      <cdr:nvSpPr>
        <cdr:cNvPr id="2" name="TextBox 50">
          <a:extLst xmlns:a="http://schemas.openxmlformats.org/drawingml/2006/main">
            <a:ext uri="{FF2B5EF4-FFF2-40B4-BE49-F238E27FC236}">
              <a16:creationId xmlns:a16="http://schemas.microsoft.com/office/drawing/2014/main" id="{4B21BA24-0D1E-43F7-9570-F9B52A603B57}"/>
            </a:ext>
          </a:extLst>
        </cdr:cNvPr>
        <cdr:cNvSpPr txBox="1"/>
      </cdr:nvSpPr>
      <cdr:spPr>
        <a:xfrm xmlns:a="http://schemas.openxmlformats.org/drawingml/2006/main">
          <a:off x="1171612" y="1070711"/>
          <a:ext cx="854943" cy="4078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 horzOverflow="clip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398E2566-0CCF-4E5E-809C-ACE11FF51710}" type="TxLink">
            <a:rPr lang="en-US" sz="2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43%</a:t>
          </a:fld>
          <a:endParaRPr lang="en-AU" sz="28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ctracey/Desktop/metrics%20v0.1/sprint%20metrics%20-%20v0.1.xlsx" TargetMode="External"/><Relationship Id="rId1" Type="http://schemas.openxmlformats.org/officeDocument/2006/relationships/externalLinkPath" Target="file:///C:/Users/ctracey/Desktop/metrics%20v0.1/sprint%20metrics%20-%20v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export"/>
      <sheetName val="data"/>
      <sheetName val="stats"/>
      <sheetName val="dashboar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AF7F-CA36-4A99-AA4A-2A6945946D4F}">
  <sheetPr>
    <tabColor rgb="FF006600"/>
  </sheetPr>
  <dimension ref="B1:M16"/>
  <sheetViews>
    <sheetView zoomScale="70" zoomScaleNormal="70" workbookViewId="0">
      <selection activeCell="H22" sqref="H22"/>
    </sheetView>
  </sheetViews>
  <sheetFormatPr baseColWidth="10" defaultColWidth="8.6640625" defaultRowHeight="15" x14ac:dyDescent="0.2"/>
  <cols>
    <col min="1" max="1" width="8.6640625" style="32" customWidth="1"/>
    <col min="2" max="2" width="1.6640625" style="32" customWidth="1"/>
    <col min="3" max="3" width="93.1640625" style="32" customWidth="1"/>
    <col min="4" max="4" width="36.6640625" style="32" customWidth="1"/>
    <col min="5" max="5" width="36.5" style="32" customWidth="1"/>
    <col min="6" max="6" width="4.5" style="32" customWidth="1"/>
    <col min="7" max="7" width="33.33203125" style="32" customWidth="1"/>
    <col min="8" max="8" width="11.1640625" style="32" customWidth="1"/>
    <col min="9" max="9" width="10.33203125" style="32" customWidth="1"/>
    <col min="10" max="10" width="10.1640625" style="32" customWidth="1"/>
    <col min="11" max="11" width="10.33203125" style="32" customWidth="1"/>
    <col min="12" max="12" width="38.33203125" style="32" customWidth="1"/>
    <col min="13" max="13" width="2.1640625" style="32" customWidth="1"/>
    <col min="14" max="16384" width="8.6640625" style="32"/>
  </cols>
  <sheetData>
    <row r="1" spans="2:13" ht="42.5" customHeight="1" x14ac:dyDescent="0.2"/>
    <row r="2" spans="2:13" ht="10.5" customHeight="1" x14ac:dyDescent="0.2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2:13" ht="137" customHeight="1" thickBot="1" x14ac:dyDescent="0.25">
      <c r="B3" s="31"/>
      <c r="C3" s="108"/>
      <c r="D3" s="109"/>
      <c r="E3" s="109"/>
      <c r="F3" s="109"/>
      <c r="G3" s="109"/>
      <c r="H3" s="109"/>
      <c r="I3" s="109"/>
      <c r="J3" s="109"/>
      <c r="K3" s="109"/>
      <c r="L3" s="109"/>
      <c r="M3" s="36"/>
    </row>
    <row r="4" spans="2:13" ht="243.5" customHeight="1" thickBot="1" x14ac:dyDescent="0.25">
      <c r="B4" s="31"/>
      <c r="C4" s="29"/>
      <c r="D4" s="115"/>
      <c r="E4" s="116"/>
      <c r="F4" s="122"/>
      <c r="G4" s="122"/>
      <c r="H4" s="122"/>
      <c r="I4" s="123"/>
      <c r="J4" s="121"/>
      <c r="K4" s="122"/>
      <c r="L4" s="123"/>
      <c r="M4" s="31"/>
    </row>
    <row r="5" spans="2:13" ht="226.5" customHeight="1" thickBot="1" x14ac:dyDescent="0.25">
      <c r="B5" s="31"/>
      <c r="C5" s="30"/>
      <c r="D5" s="48"/>
      <c r="E5" s="49"/>
      <c r="F5" s="110"/>
      <c r="G5" s="111"/>
      <c r="H5" s="111"/>
      <c r="I5" s="112"/>
      <c r="J5" s="110"/>
      <c r="K5" s="111"/>
      <c r="L5" s="112"/>
      <c r="M5" s="31"/>
    </row>
    <row r="6" spans="2:13" ht="26.5" customHeight="1" x14ac:dyDescent="0.2">
      <c r="B6" s="31"/>
      <c r="C6" s="113"/>
      <c r="D6" s="117"/>
      <c r="E6" s="118"/>
      <c r="F6" s="35"/>
      <c r="G6" s="37"/>
      <c r="H6" s="38"/>
      <c r="I6" s="38"/>
      <c r="J6" s="38"/>
      <c r="K6" s="38"/>
      <c r="L6" s="39"/>
      <c r="M6" s="31"/>
    </row>
    <row r="7" spans="2:13" ht="27.5" customHeight="1" x14ac:dyDescent="0.2">
      <c r="B7" s="31"/>
      <c r="C7" s="114"/>
      <c r="D7" s="108"/>
      <c r="E7" s="109"/>
      <c r="F7" s="34"/>
      <c r="G7" s="44"/>
      <c r="H7" s="124" t="s">
        <v>65</v>
      </c>
      <c r="I7" s="124"/>
      <c r="J7" s="124" t="s">
        <v>66</v>
      </c>
      <c r="K7" s="124"/>
      <c r="L7" s="40"/>
      <c r="M7" s="31"/>
    </row>
    <row r="8" spans="2:13" ht="22" customHeight="1" x14ac:dyDescent="0.2">
      <c r="B8" s="31"/>
      <c r="C8" s="114"/>
      <c r="D8" s="108"/>
      <c r="E8" s="109"/>
      <c r="F8" s="34"/>
      <c r="G8" s="46" t="s">
        <v>13</v>
      </c>
      <c r="H8" s="47">
        <f>'Sprint Summary | data'!R18</f>
        <v>53</v>
      </c>
      <c r="I8" s="47">
        <f>'Sprint Summary | data'!S18</f>
        <v>67</v>
      </c>
      <c r="J8" s="47">
        <f>'Sprint Summary | data'!T18</f>
        <v>41</v>
      </c>
      <c r="K8" s="47">
        <f>'Sprint Summary | data'!U18</f>
        <v>64</v>
      </c>
      <c r="L8" s="40"/>
      <c r="M8" s="31"/>
    </row>
    <row r="9" spans="2:13" ht="22" customHeight="1" x14ac:dyDescent="0.2">
      <c r="B9" s="31"/>
      <c r="C9" s="114"/>
      <c r="D9" s="108"/>
      <c r="E9" s="109"/>
      <c r="F9" s="34"/>
      <c r="G9" s="50" t="s">
        <v>14</v>
      </c>
      <c r="H9" s="50">
        <f>'Sprint Summary | data'!R19</f>
        <v>26.5</v>
      </c>
      <c r="I9" s="50">
        <f>'Sprint Summary | data'!S19</f>
        <v>33</v>
      </c>
      <c r="J9" s="50">
        <f>'Sprint Summary | data'!T19</f>
        <v>23</v>
      </c>
      <c r="K9" s="50">
        <f>'Sprint Summary | data'!U19</f>
        <v>36</v>
      </c>
      <c r="L9" s="52">
        <f>IF('Sprint Summary | data'!R28,1,0)</f>
        <v>0</v>
      </c>
      <c r="M9" s="31"/>
    </row>
    <row r="10" spans="2:13" ht="22" customHeight="1" x14ac:dyDescent="0.2">
      <c r="B10" s="31"/>
      <c r="C10" s="114"/>
      <c r="D10" s="108"/>
      <c r="E10" s="109"/>
      <c r="F10" s="34"/>
      <c r="G10" s="51" t="s">
        <v>61</v>
      </c>
      <c r="H10" s="51">
        <f>'Sprint Summary | data'!R20</f>
        <v>79.5</v>
      </c>
      <c r="I10" s="51">
        <f>'Sprint Summary | data'!S20</f>
        <v>100</v>
      </c>
      <c r="J10" s="51">
        <f>'Sprint Summary | data'!T20</f>
        <v>64</v>
      </c>
      <c r="K10" s="51">
        <f>'Sprint Summary | data'!U20</f>
        <v>100</v>
      </c>
      <c r="L10" s="52">
        <f>IF('Sprint Summary | data'!R29,1,0)</f>
        <v>0</v>
      </c>
      <c r="M10" s="31"/>
    </row>
    <row r="11" spans="2:13" ht="22" customHeight="1" x14ac:dyDescent="0.2">
      <c r="B11" s="31"/>
      <c r="C11" s="114"/>
      <c r="D11" s="108"/>
      <c r="E11" s="109"/>
      <c r="F11" s="34"/>
      <c r="G11" s="46" t="s">
        <v>64</v>
      </c>
      <c r="H11" s="47">
        <f>'Sprint Summary | data'!R21</f>
        <v>72.5</v>
      </c>
      <c r="I11" s="47">
        <f>'Sprint Summary | data'!S21</f>
        <v>91</v>
      </c>
      <c r="J11" s="47">
        <f>'Sprint Summary | data'!T21</f>
        <v>63</v>
      </c>
      <c r="K11" s="47">
        <f>'Sprint Summary | data'!U21</f>
        <v>98</v>
      </c>
      <c r="L11" s="40"/>
      <c r="M11" s="31"/>
    </row>
    <row r="12" spans="2:13" ht="22" customHeight="1" x14ac:dyDescent="0.2">
      <c r="B12" s="31"/>
      <c r="C12" s="114"/>
      <c r="D12" s="108"/>
      <c r="E12" s="109"/>
      <c r="F12" s="34"/>
      <c r="G12" s="46" t="s">
        <v>62</v>
      </c>
      <c r="H12" s="47">
        <f>'Sprint Summary | data'!R22</f>
        <v>22</v>
      </c>
      <c r="I12" s="47">
        <f>'Sprint Summary | data'!S22</f>
        <v>30</v>
      </c>
      <c r="J12" s="47">
        <f>'Sprint Summary | data'!T22</f>
        <v>10</v>
      </c>
      <c r="K12" s="47">
        <f>'Sprint Summary | data'!U22</f>
        <v>16</v>
      </c>
      <c r="L12" s="40"/>
      <c r="M12" s="31"/>
    </row>
    <row r="13" spans="2:13" ht="22" customHeight="1" x14ac:dyDescent="0.2">
      <c r="B13" s="31"/>
      <c r="C13" s="114"/>
      <c r="D13" s="108"/>
      <c r="E13" s="109"/>
      <c r="F13" s="34"/>
      <c r="G13" s="46" t="s">
        <v>63</v>
      </c>
      <c r="H13" s="47">
        <f>'Sprint Summary | data'!R23</f>
        <v>15</v>
      </c>
      <c r="I13" s="47">
        <f>'Sprint Summary | data'!S23</f>
        <v>19</v>
      </c>
      <c r="J13" s="47">
        <f>'Sprint Summary | data'!T23</f>
        <v>9</v>
      </c>
      <c r="K13" s="47">
        <f>'Sprint Summary | data'!U23</f>
        <v>14</v>
      </c>
      <c r="L13" s="40"/>
      <c r="M13" s="31"/>
    </row>
    <row r="14" spans="2:13" ht="42.5" customHeight="1" thickBot="1" x14ac:dyDescent="0.25">
      <c r="B14" s="31"/>
      <c r="C14" s="114"/>
      <c r="D14" s="119"/>
      <c r="E14" s="120"/>
      <c r="F14" s="33"/>
      <c r="G14" s="41"/>
      <c r="H14" s="42"/>
      <c r="I14" s="42"/>
      <c r="J14" s="42"/>
      <c r="K14" s="42"/>
      <c r="L14" s="43"/>
      <c r="M14" s="31"/>
    </row>
    <row r="15" spans="2:13" ht="264.5" customHeight="1" thickBot="1" x14ac:dyDescent="0.25">
      <c r="B15" s="31"/>
      <c r="C15" s="114"/>
      <c r="D15" s="115"/>
      <c r="E15" s="116"/>
      <c r="F15" s="110"/>
      <c r="G15" s="111"/>
      <c r="H15" s="111"/>
      <c r="I15" s="111"/>
      <c r="J15" s="111"/>
      <c r="K15" s="111"/>
      <c r="L15" s="112"/>
      <c r="M15" s="36"/>
    </row>
    <row r="16" spans="2:13" ht="10" customHeight="1" x14ac:dyDescent="0.2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</sheetData>
  <mergeCells count="10">
    <mergeCell ref="C3:L3"/>
    <mergeCell ref="F15:L15"/>
    <mergeCell ref="C6:C15"/>
    <mergeCell ref="D4:E4"/>
    <mergeCell ref="D15:E15"/>
    <mergeCell ref="D6:E14"/>
    <mergeCell ref="J4:L5"/>
    <mergeCell ref="H7:I7"/>
    <mergeCell ref="J7:K7"/>
    <mergeCell ref="F4:I5"/>
  </mergeCells>
  <conditionalFormatting sqref="L9:L10">
    <cfRule type="iconSet" priority="1">
      <iconSet iconSet="3Symbols">
        <cfvo type="percent" val="0"/>
        <cfvo type="percent" val="0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F69450D6-E786-4F98-B0F5-E52214E7EFD5}">
            <xm:f>'Sprint Summary | data'!$R$28</xm:f>
            <x14:dxf>
              <fill>
                <patternFill>
                  <bgColor rgb="FF92D050"/>
                </patternFill>
              </fill>
            </x14:dxf>
          </x14:cfRule>
          <xm:sqref>G9:K9</xm:sqref>
        </x14:conditionalFormatting>
        <x14:conditionalFormatting xmlns:xm="http://schemas.microsoft.com/office/excel/2006/main">
          <x14:cfRule type="expression" priority="6" id="{C6218302-5942-401D-B7C4-BDED7CC09D58}">
            <xm:f>'Sprint Summary | data'!$R$29</xm:f>
            <x14:dxf>
              <fill>
                <patternFill>
                  <bgColor rgb="FF92D050"/>
                </patternFill>
              </fill>
            </x14:dxf>
          </x14:cfRule>
          <xm:sqref>G10:K10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B5D0-997F-4790-A594-9911F672E9B0}">
  <sheetPr>
    <tabColor rgb="FF92D050"/>
  </sheetPr>
  <dimension ref="A1:X76"/>
  <sheetViews>
    <sheetView workbookViewId="0">
      <selection activeCell="J97" sqref="J97"/>
    </sheetView>
  </sheetViews>
  <sheetFormatPr baseColWidth="10" defaultColWidth="8.83203125" defaultRowHeight="15" x14ac:dyDescent="0.2"/>
  <cols>
    <col min="1" max="1" width="38.5" bestFit="1" customWidth="1"/>
    <col min="8" max="8" width="2" style="27" customWidth="1"/>
    <col min="9" max="9" width="23.83203125" customWidth="1"/>
    <col min="10" max="10" width="10.6640625" bestFit="1" customWidth="1"/>
    <col min="11" max="11" width="15.6640625" customWidth="1"/>
    <col min="16" max="16" width="3.1640625" style="28" customWidth="1"/>
    <col min="17" max="17" width="27.6640625" customWidth="1"/>
    <col min="24" max="24" width="3.6640625" style="28" customWidth="1"/>
  </cols>
  <sheetData>
    <row r="1" spans="1:24" s="61" customFormat="1" ht="26" x14ac:dyDescent="0.3">
      <c r="A1" s="61" t="s">
        <v>91</v>
      </c>
    </row>
    <row r="2" spans="1:24" s="57" customFormat="1" x14ac:dyDescent="0.2">
      <c r="A2" s="57" t="s">
        <v>93</v>
      </c>
    </row>
    <row r="3" spans="1:24" x14ac:dyDescent="0.2">
      <c r="H3"/>
      <c r="P3"/>
      <c r="X3"/>
    </row>
    <row r="4" spans="1:24" x14ac:dyDescent="0.2">
      <c r="A4" s="26" t="s">
        <v>43</v>
      </c>
      <c r="B4" s="25"/>
      <c r="C4" s="25"/>
      <c r="D4" s="25"/>
      <c r="E4" s="25"/>
      <c r="F4" s="25"/>
      <c r="G4" s="25"/>
      <c r="H4"/>
      <c r="P4"/>
      <c r="X4"/>
    </row>
    <row r="5" spans="1:24" x14ac:dyDescent="0.2">
      <c r="A5" s="4"/>
      <c r="B5" s="4"/>
      <c r="C5" s="4"/>
      <c r="D5" s="4"/>
      <c r="E5" s="4"/>
      <c r="F5" s="4"/>
      <c r="G5" s="4"/>
      <c r="H5"/>
      <c r="P5"/>
      <c r="X5"/>
    </row>
    <row r="6" spans="1:24" x14ac:dyDescent="0.2">
      <c r="A6" s="4" t="s">
        <v>42</v>
      </c>
      <c r="B6" s="4" t="str">
        <f>'processed | data'!B6</f>
        <v>Q24-4.8</v>
      </c>
      <c r="C6" s="4"/>
      <c r="D6" s="4"/>
      <c r="E6" s="4"/>
      <c r="F6" s="4"/>
      <c r="G6" s="4"/>
      <c r="H6"/>
      <c r="P6"/>
      <c r="X6"/>
    </row>
    <row r="7" spans="1:24" x14ac:dyDescent="0.2">
      <c r="A7" s="4" t="s">
        <v>44</v>
      </c>
      <c r="B7" s="4" t="str">
        <f>_xlfn.CONCAT('Calculated Stats'!C23, " - ", 'Calculated Stats'!C24)</f>
        <v>03/07/2024 - 18/07/2024</v>
      </c>
      <c r="C7" s="4"/>
      <c r="D7" s="4"/>
      <c r="E7" s="4"/>
      <c r="F7" s="4"/>
      <c r="G7" s="4"/>
      <c r="H7"/>
      <c r="P7"/>
      <c r="X7"/>
    </row>
    <row r="8" spans="1:24" x14ac:dyDescent="0.2">
      <c r="A8" s="4"/>
      <c r="B8" s="4"/>
      <c r="C8" s="4"/>
      <c r="D8" s="4"/>
      <c r="E8" s="4"/>
      <c r="F8" s="4"/>
      <c r="G8" s="4"/>
      <c r="H8"/>
      <c r="M8" s="26" t="s">
        <v>68</v>
      </c>
      <c r="N8" s="25"/>
      <c r="O8" s="25"/>
      <c r="P8"/>
      <c r="X8"/>
    </row>
    <row r="9" spans="1:24" x14ac:dyDescent="0.2">
      <c r="A9" s="4"/>
      <c r="B9" s="4"/>
      <c r="C9" s="4"/>
      <c r="D9" s="4"/>
      <c r="E9" s="4"/>
      <c r="F9" s="4"/>
      <c r="G9" s="4"/>
      <c r="H9"/>
      <c r="M9" s="4" t="s">
        <v>69</v>
      </c>
      <c r="N9" s="4">
        <f>'Calculated Stats'!C143</f>
        <v>50</v>
      </c>
      <c r="O9" s="4"/>
      <c r="P9"/>
      <c r="X9"/>
    </row>
    <row r="10" spans="1:24" x14ac:dyDescent="0.2">
      <c r="H10"/>
      <c r="M10" s="4" t="s">
        <v>46</v>
      </c>
      <c r="N10" s="4">
        <f>'Calculated Stats'!C140</f>
        <v>50</v>
      </c>
      <c r="O10" s="4"/>
      <c r="P10"/>
      <c r="X10"/>
    </row>
    <row r="11" spans="1:24" x14ac:dyDescent="0.2">
      <c r="H11"/>
      <c r="M11" s="4"/>
      <c r="N11" s="4"/>
      <c r="O11" s="4"/>
      <c r="P11"/>
      <c r="X11"/>
    </row>
    <row r="12" spans="1:24" s="27" customFormat="1" x14ac:dyDescent="0.2">
      <c r="P12" s="28"/>
      <c r="X12" s="28"/>
    </row>
    <row r="13" spans="1:24" x14ac:dyDescent="0.2">
      <c r="A13" s="26" t="s">
        <v>40</v>
      </c>
      <c r="B13" s="25"/>
      <c r="C13" s="25"/>
      <c r="D13" s="25"/>
      <c r="E13" s="25"/>
      <c r="F13" s="25"/>
      <c r="G13" s="25"/>
      <c r="H13" s="28"/>
      <c r="I13" s="26" t="s">
        <v>33</v>
      </c>
      <c r="J13" s="25"/>
      <c r="K13" s="25"/>
      <c r="L13" s="25"/>
      <c r="M13" s="25"/>
      <c r="N13" s="25"/>
      <c r="O13" s="25"/>
      <c r="Q13" s="26" t="s">
        <v>19</v>
      </c>
      <c r="R13" s="26"/>
      <c r="S13" s="26"/>
      <c r="T13" s="26"/>
      <c r="U13" s="26"/>
      <c r="V13" s="26"/>
      <c r="W13" s="26"/>
    </row>
    <row r="14" spans="1:24" x14ac:dyDescent="0.2">
      <c r="A14" s="4"/>
      <c r="B14" s="4"/>
      <c r="C14" s="4"/>
      <c r="D14" s="4"/>
      <c r="E14" s="4"/>
      <c r="F14" s="4"/>
      <c r="G14" s="4"/>
      <c r="H14" s="28"/>
      <c r="I14" s="4"/>
      <c r="J14" s="4"/>
      <c r="K14" s="4"/>
      <c r="L14" s="4"/>
      <c r="M14" s="4"/>
      <c r="N14" s="4"/>
      <c r="O14" s="4"/>
      <c r="Q14" s="4"/>
      <c r="R14" s="4"/>
      <c r="S14" s="4"/>
      <c r="T14" s="4"/>
      <c r="U14" s="4"/>
      <c r="V14" s="4"/>
      <c r="W14" s="4"/>
    </row>
    <row r="15" spans="1:24" x14ac:dyDescent="0.2">
      <c r="A15" s="4" t="s">
        <v>49</v>
      </c>
      <c r="B15" s="4"/>
      <c r="C15" s="4"/>
      <c r="D15" s="4"/>
      <c r="E15" s="4"/>
      <c r="F15" s="4"/>
      <c r="G15" s="4"/>
      <c r="H15" s="28"/>
      <c r="I15" s="4"/>
      <c r="J15" s="4"/>
      <c r="K15" s="4"/>
      <c r="L15" s="4"/>
      <c r="M15" s="4"/>
      <c r="N15" s="4"/>
      <c r="O15" s="4"/>
      <c r="Q15" s="4"/>
      <c r="R15" s="4"/>
      <c r="S15" s="4"/>
      <c r="T15" s="4"/>
      <c r="U15" s="4"/>
      <c r="V15" s="4"/>
      <c r="W15" s="4"/>
    </row>
    <row r="16" spans="1:24" x14ac:dyDescent="0.2">
      <c r="A16" s="4"/>
      <c r="B16" s="4"/>
      <c r="C16" s="4"/>
      <c r="D16" s="4"/>
      <c r="E16" s="4"/>
      <c r="F16" s="4"/>
      <c r="G16" s="4"/>
      <c r="H16" s="28"/>
      <c r="I16" s="4" t="s">
        <v>45</v>
      </c>
      <c r="J16" s="4">
        <f>'Calculated Stats'!C108</f>
        <v>79.5</v>
      </c>
      <c r="K16" s="4"/>
      <c r="L16" s="4"/>
      <c r="M16" s="4"/>
      <c r="N16" s="4"/>
      <c r="O16" s="4"/>
      <c r="Q16" s="4"/>
      <c r="R16" s="4" t="s">
        <v>10</v>
      </c>
      <c r="S16" s="4"/>
      <c r="T16" s="4" t="s">
        <v>12</v>
      </c>
      <c r="U16" s="4"/>
      <c r="V16" s="4"/>
      <c r="W16" s="4"/>
    </row>
    <row r="17" spans="1:23" x14ac:dyDescent="0.2">
      <c r="H17" s="28"/>
      <c r="I17" s="4"/>
      <c r="J17" s="4"/>
      <c r="K17" s="4"/>
      <c r="L17" s="4"/>
      <c r="M17" s="4"/>
      <c r="N17" s="4"/>
      <c r="O17" s="4"/>
      <c r="Q17" s="4"/>
      <c r="R17" s="4" t="s">
        <v>22</v>
      </c>
      <c r="S17" s="4" t="s">
        <v>11</v>
      </c>
      <c r="T17" s="4" t="s">
        <v>22</v>
      </c>
      <c r="U17" s="4" t="s">
        <v>11</v>
      </c>
      <c r="V17" s="4"/>
      <c r="W17" s="4"/>
    </row>
    <row r="18" spans="1:23" x14ac:dyDescent="0.2">
      <c r="H18" s="28"/>
      <c r="I18" s="45" t="s">
        <v>51</v>
      </c>
      <c r="J18" s="4"/>
      <c r="K18" s="4"/>
      <c r="L18" s="4"/>
      <c r="M18" s="4"/>
      <c r="N18" s="4"/>
      <c r="O18" s="4"/>
      <c r="Q18" s="4" t="s">
        <v>13</v>
      </c>
      <c r="R18" s="4">
        <f>'Calculated Stats'!C106</f>
        <v>53</v>
      </c>
      <c r="S18" s="4">
        <f>'Calculated Stats'!D106</f>
        <v>67</v>
      </c>
      <c r="T18" s="4">
        <f>'Calculated Stats'!E106</f>
        <v>41</v>
      </c>
      <c r="U18" s="4">
        <f>'Calculated Stats'!F106</f>
        <v>64</v>
      </c>
      <c r="V18" s="4"/>
      <c r="W18" s="4"/>
    </row>
    <row r="19" spans="1:23" x14ac:dyDescent="0.2">
      <c r="A19" s="26" t="s">
        <v>50</v>
      </c>
      <c r="B19" s="25"/>
      <c r="C19" s="25"/>
      <c r="D19" s="25"/>
      <c r="E19" s="25"/>
      <c r="F19" s="25"/>
      <c r="G19" s="25"/>
      <c r="I19" s="4" t="s">
        <v>32</v>
      </c>
      <c r="J19" s="4">
        <f>'Calculated Stats'!C107</f>
        <v>26.5</v>
      </c>
      <c r="K19" s="4"/>
      <c r="L19" s="4"/>
      <c r="M19" s="4"/>
      <c r="N19" s="4"/>
      <c r="O19" s="4"/>
      <c r="Q19" s="4" t="s">
        <v>14</v>
      </c>
      <c r="R19" s="4">
        <f>'Calculated Stats'!C107</f>
        <v>26.5</v>
      </c>
      <c r="S19" s="4">
        <f>'Calculated Stats'!D107</f>
        <v>33</v>
      </c>
      <c r="T19" s="4">
        <f>'Calculated Stats'!E107</f>
        <v>23</v>
      </c>
      <c r="U19" s="4">
        <f>'Calculated Stats'!F107</f>
        <v>36</v>
      </c>
      <c r="V19" s="4"/>
      <c r="W19" s="4"/>
    </row>
    <row r="20" spans="1:23" x14ac:dyDescent="0.2">
      <c r="A20" s="4"/>
      <c r="B20" s="4"/>
      <c r="C20" s="4"/>
      <c r="D20" s="4"/>
      <c r="E20" s="4"/>
      <c r="F20" s="4"/>
      <c r="G20" s="4"/>
      <c r="I20" s="4" t="s">
        <v>67</v>
      </c>
      <c r="J20" s="4">
        <f>'Calculated Stats'!C106</f>
        <v>53</v>
      </c>
      <c r="K20" s="4"/>
      <c r="L20" s="4"/>
      <c r="M20" s="4"/>
      <c r="N20" s="4"/>
      <c r="O20" s="4"/>
      <c r="Q20" s="45" t="s">
        <v>15</v>
      </c>
      <c r="R20" s="4">
        <f>'Calculated Stats'!C108</f>
        <v>79.5</v>
      </c>
      <c r="S20" s="4">
        <f>'Calculated Stats'!D108</f>
        <v>100</v>
      </c>
      <c r="T20" s="4">
        <f>'Calculated Stats'!E108</f>
        <v>64</v>
      </c>
      <c r="U20" s="4">
        <f>'Calculated Stats'!F108</f>
        <v>100</v>
      </c>
      <c r="V20" s="45"/>
      <c r="W20" s="45"/>
    </row>
    <row r="21" spans="1:23" x14ac:dyDescent="0.2">
      <c r="A21" s="4" t="s">
        <v>49</v>
      </c>
      <c r="B21" s="4"/>
      <c r="C21" s="4"/>
      <c r="D21" s="4"/>
      <c r="E21" s="4"/>
      <c r="F21" s="4"/>
      <c r="G21" s="4"/>
      <c r="I21" s="4"/>
      <c r="J21" s="4"/>
      <c r="K21" s="4"/>
      <c r="L21" s="4"/>
      <c r="M21" s="4"/>
      <c r="N21" s="4"/>
      <c r="O21" s="4"/>
      <c r="Q21" s="4" t="s">
        <v>16</v>
      </c>
      <c r="R21" s="4">
        <f>'Calculated Stats'!C109</f>
        <v>72.5</v>
      </c>
      <c r="S21" s="4">
        <f>'Calculated Stats'!D109</f>
        <v>91</v>
      </c>
      <c r="T21" s="4">
        <f>'Calculated Stats'!E109</f>
        <v>63</v>
      </c>
      <c r="U21" s="4">
        <f>'Calculated Stats'!F109</f>
        <v>98</v>
      </c>
      <c r="V21" s="4"/>
      <c r="W21" s="4"/>
    </row>
    <row r="22" spans="1:23" x14ac:dyDescent="0.2">
      <c r="A22" s="4"/>
      <c r="B22" s="4"/>
      <c r="C22" s="4"/>
      <c r="D22" s="4"/>
      <c r="E22" s="4"/>
      <c r="F22" s="4"/>
      <c r="G22" s="4"/>
      <c r="I22" s="4"/>
      <c r="J22" s="4"/>
      <c r="K22" s="4"/>
      <c r="L22" s="4"/>
      <c r="M22" s="4"/>
      <c r="N22" s="4"/>
      <c r="O22" s="4"/>
      <c r="Q22" s="4" t="s">
        <v>17</v>
      </c>
      <c r="R22" s="4">
        <f>'Calculated Stats'!C110</f>
        <v>22</v>
      </c>
      <c r="S22" s="4">
        <f>'Calculated Stats'!D110</f>
        <v>30</v>
      </c>
      <c r="T22" s="4">
        <f>'Calculated Stats'!E110</f>
        <v>10</v>
      </c>
      <c r="U22" s="4">
        <f>'Calculated Stats'!F110</f>
        <v>16</v>
      </c>
      <c r="V22" s="4"/>
      <c r="W22" s="4"/>
    </row>
    <row r="23" spans="1:23" x14ac:dyDescent="0.2">
      <c r="I23" s="45" t="s">
        <v>52</v>
      </c>
      <c r="J23" s="4"/>
      <c r="K23" s="4"/>
      <c r="L23" s="4"/>
      <c r="M23" s="4"/>
      <c r="N23" s="4"/>
      <c r="O23" s="4"/>
      <c r="Q23" s="4" t="s">
        <v>18</v>
      </c>
      <c r="R23" s="4">
        <f>'Calculated Stats'!C111</f>
        <v>15</v>
      </c>
      <c r="S23" s="4">
        <f>'Calculated Stats'!D111</f>
        <v>19</v>
      </c>
      <c r="T23" s="4">
        <f>'Calculated Stats'!E111</f>
        <v>9</v>
      </c>
      <c r="U23" s="4">
        <f>'Calculated Stats'!F111</f>
        <v>14</v>
      </c>
      <c r="V23" s="4"/>
      <c r="W23" s="4"/>
    </row>
    <row r="24" spans="1:23" x14ac:dyDescent="0.2">
      <c r="I24" s="4" t="s">
        <v>34</v>
      </c>
      <c r="J24" s="4">
        <f>'Calculated Stats'!C117</f>
        <v>23</v>
      </c>
      <c r="K24" s="4"/>
      <c r="L24" s="4"/>
      <c r="M24" s="4"/>
      <c r="N24" s="4"/>
      <c r="O24" s="4"/>
    </row>
    <row r="25" spans="1:23" x14ac:dyDescent="0.2">
      <c r="I25" s="4" t="s">
        <v>35</v>
      </c>
      <c r="J25" s="4">
        <f>'Calculated Stats'!C118</f>
        <v>30</v>
      </c>
      <c r="K25" s="4"/>
      <c r="L25" s="4"/>
      <c r="M25" s="4"/>
      <c r="N25" s="4"/>
      <c r="O25" s="4"/>
    </row>
    <row r="26" spans="1:23" x14ac:dyDescent="0.2">
      <c r="A26" s="26" t="s">
        <v>59</v>
      </c>
      <c r="B26" s="25"/>
      <c r="C26" s="25"/>
      <c r="D26" s="25"/>
      <c r="E26" s="25"/>
      <c r="F26" s="25"/>
      <c r="G26" s="25"/>
      <c r="I26" s="4" t="s">
        <v>32</v>
      </c>
      <c r="J26" s="4">
        <f>'Calculated Stats'!C119</f>
        <v>26.5</v>
      </c>
      <c r="K26" s="4"/>
      <c r="L26" s="4"/>
      <c r="M26" s="4"/>
      <c r="N26" s="4"/>
      <c r="O26" s="4"/>
      <c r="Q26" s="26" t="s">
        <v>70</v>
      </c>
      <c r="R26" s="26"/>
      <c r="S26" s="26"/>
      <c r="T26" s="26"/>
      <c r="U26" s="26"/>
      <c r="V26" s="26"/>
      <c r="W26" s="26"/>
    </row>
    <row r="27" spans="1:23" x14ac:dyDescent="0.2">
      <c r="A27" s="4" t="s">
        <v>84</v>
      </c>
      <c r="B27" s="4">
        <f>SUM(B29:B31)</f>
        <v>18.5</v>
      </c>
      <c r="C27" s="4"/>
      <c r="D27" s="4"/>
      <c r="E27" s="4"/>
      <c r="F27" s="4"/>
      <c r="G27" s="4"/>
      <c r="I27" s="4"/>
      <c r="J27" s="4"/>
      <c r="K27" s="4"/>
      <c r="L27" s="4"/>
      <c r="M27" s="4"/>
      <c r="N27" s="4"/>
      <c r="O27" s="4"/>
      <c r="Q27" s="4"/>
      <c r="R27" s="4"/>
      <c r="S27" s="4"/>
      <c r="T27" s="4"/>
      <c r="U27" s="4"/>
      <c r="V27" s="4"/>
      <c r="W27" s="4"/>
    </row>
    <row r="28" spans="1:23" x14ac:dyDescent="0.2">
      <c r="A28" s="4"/>
      <c r="B28" s="54" t="s">
        <v>85</v>
      </c>
      <c r="C28" s="54" t="s">
        <v>11</v>
      </c>
      <c r="D28" s="4"/>
      <c r="E28" s="4"/>
      <c r="F28" s="4"/>
      <c r="G28" s="4"/>
      <c r="I28" s="4"/>
      <c r="J28" s="4"/>
      <c r="K28" s="4"/>
      <c r="L28" s="4"/>
      <c r="M28" s="4"/>
      <c r="N28" s="4"/>
      <c r="O28" s="4"/>
      <c r="Q28" s="4" t="s">
        <v>72</v>
      </c>
      <c r="R28" s="4" t="b">
        <f>'Calculated Stats'!C146</f>
        <v>0</v>
      </c>
      <c r="S28" s="4"/>
      <c r="T28" s="4"/>
      <c r="U28" s="4"/>
      <c r="V28" s="4"/>
      <c r="W28" s="4"/>
    </row>
    <row r="29" spans="1:23" x14ac:dyDescent="0.2">
      <c r="A29" s="4" t="str">
        <f>_xlfn.CONCAT('Calculated Stats'!B127, "/", 'Calculated Stats'!B128)</f>
        <v>BAU/Improvement</v>
      </c>
      <c r="B29" s="54">
        <f>'Calculated Stats'!C130</f>
        <v>11.5</v>
      </c>
      <c r="C29" s="54">
        <f>ROUND(B29/B$27*100,0)</f>
        <v>62</v>
      </c>
      <c r="D29" s="4"/>
      <c r="E29" s="4"/>
      <c r="F29" s="4"/>
      <c r="G29" s="4"/>
      <c r="I29" s="45" t="s">
        <v>53</v>
      </c>
      <c r="J29" s="4"/>
      <c r="K29" s="4"/>
      <c r="L29" s="4"/>
      <c r="M29" s="4"/>
      <c r="N29" s="4"/>
      <c r="O29" s="4"/>
      <c r="Q29" s="4" t="s">
        <v>71</v>
      </c>
      <c r="R29" s="4" t="b">
        <f>'Calculated Stats'!C145</f>
        <v>0</v>
      </c>
      <c r="S29" s="4"/>
      <c r="T29" s="4"/>
      <c r="U29" s="4"/>
      <c r="V29" s="4"/>
      <c r="W29" s="4"/>
    </row>
    <row r="30" spans="1:23" x14ac:dyDescent="0.2">
      <c r="A30" s="4" t="s">
        <v>4</v>
      </c>
      <c r="B30" s="54">
        <f>MATCH(A30, 'Calculated Stats'!B$36:B$45, 0)</f>
        <v>3</v>
      </c>
      <c r="C30" s="54">
        <f t="shared" ref="C30:C31" si="0">ROUND(B30/B$27*100,0)</f>
        <v>16</v>
      </c>
      <c r="D30" s="4"/>
      <c r="E30" s="4"/>
      <c r="F30" s="4"/>
      <c r="G30" s="4"/>
      <c r="I30" s="4"/>
      <c r="J30" s="4"/>
      <c r="K30" s="4"/>
      <c r="L30" s="4"/>
      <c r="M30" s="4"/>
      <c r="N30" s="4"/>
      <c r="O30" s="4"/>
      <c r="Q30" s="4"/>
      <c r="R30" s="4"/>
      <c r="S30" s="4"/>
      <c r="T30" s="4"/>
      <c r="U30" s="4"/>
      <c r="V30" s="4"/>
      <c r="W30" s="4"/>
    </row>
    <row r="31" spans="1:23" x14ac:dyDescent="0.2">
      <c r="A31" s="4" t="s">
        <v>7</v>
      </c>
      <c r="B31" s="54">
        <f>MATCH(A31, 'Calculated Stats'!B$36:B$45, 0)</f>
        <v>4</v>
      </c>
      <c r="C31" s="54">
        <f t="shared" si="0"/>
        <v>22</v>
      </c>
      <c r="D31" s="4"/>
      <c r="E31" s="4"/>
      <c r="F31" s="4"/>
      <c r="G31" s="4"/>
      <c r="I31" s="4"/>
      <c r="J31" s="4">
        <f>'Calculated Stats'!C108</f>
        <v>79.5</v>
      </c>
      <c r="K31" s="4" t="s">
        <v>45</v>
      </c>
      <c r="L31" s="4"/>
      <c r="M31" s="4"/>
      <c r="N31" s="4"/>
      <c r="O31" s="4"/>
    </row>
    <row r="32" spans="1:23" x14ac:dyDescent="0.2">
      <c r="A32" s="4"/>
      <c r="B32" s="4"/>
      <c r="C32" s="4"/>
      <c r="D32" s="4"/>
      <c r="E32" s="4"/>
      <c r="F32" s="4"/>
      <c r="G32" s="4"/>
      <c r="I32" s="4" t="s">
        <v>48</v>
      </c>
      <c r="J32" s="4">
        <f>'Calculated Stats'!C143</f>
        <v>50</v>
      </c>
      <c r="K32" s="4"/>
      <c r="L32" s="4"/>
      <c r="M32" s="4"/>
      <c r="N32" s="4"/>
      <c r="O32" s="4"/>
    </row>
    <row r="33" spans="9:23" x14ac:dyDescent="0.2">
      <c r="I33" s="4" t="s">
        <v>47</v>
      </c>
      <c r="J33" s="4">
        <f>'Calculated Stats'!C140</f>
        <v>50</v>
      </c>
      <c r="K33" s="4"/>
      <c r="L33" s="4"/>
      <c r="M33" s="4"/>
      <c r="N33" s="4"/>
      <c r="O33" s="4"/>
    </row>
    <row r="34" spans="9:23" x14ac:dyDescent="0.2">
      <c r="I34" s="4"/>
      <c r="J34" s="4"/>
      <c r="K34" s="4"/>
      <c r="L34" s="4"/>
      <c r="M34" s="4"/>
      <c r="N34" s="4"/>
      <c r="O34" s="4"/>
    </row>
    <row r="37" spans="9:23" x14ac:dyDescent="0.2">
      <c r="I37" s="26" t="s">
        <v>37</v>
      </c>
      <c r="J37" s="25"/>
      <c r="K37" s="25"/>
      <c r="L37" s="25"/>
      <c r="M37" s="25"/>
      <c r="N37" s="25"/>
      <c r="O37" s="25"/>
      <c r="Q37" s="26" t="s">
        <v>60</v>
      </c>
      <c r="R37" s="25"/>
      <c r="S37" s="25"/>
      <c r="T37" s="25"/>
      <c r="U37" s="25"/>
      <c r="V37" s="25"/>
      <c r="W37" s="25"/>
    </row>
    <row r="38" spans="9:23" x14ac:dyDescent="0.2">
      <c r="I38" s="4"/>
      <c r="J38" s="4"/>
      <c r="K38" s="4"/>
      <c r="L38" s="4"/>
      <c r="M38" s="4"/>
      <c r="N38" s="4"/>
      <c r="O38" s="4"/>
      <c r="Q38" s="4" t="s">
        <v>85</v>
      </c>
      <c r="R38" s="4">
        <f>SUM(R40:R44)</f>
        <v>23.5</v>
      </c>
      <c r="S38" s="4"/>
      <c r="T38" s="4"/>
      <c r="U38" s="4"/>
      <c r="V38" s="4"/>
      <c r="W38" s="4"/>
    </row>
    <row r="39" spans="9:23" x14ac:dyDescent="0.2">
      <c r="I39" s="4"/>
      <c r="J39" s="4"/>
      <c r="K39" s="4"/>
      <c r="L39" s="4"/>
      <c r="M39" s="4"/>
      <c r="N39" s="4"/>
      <c r="O39" s="4"/>
      <c r="Q39" s="4"/>
      <c r="R39" s="4"/>
      <c r="S39" s="53" t="s">
        <v>11</v>
      </c>
      <c r="T39" s="4"/>
      <c r="U39" s="4"/>
      <c r="V39" s="4"/>
      <c r="W39" s="4"/>
    </row>
    <row r="40" spans="9:23" x14ac:dyDescent="0.2">
      <c r="I40" s="4" t="s">
        <v>38</v>
      </c>
      <c r="J40" s="4">
        <f>'Calculated Stats'!C134</f>
        <v>1.2</v>
      </c>
      <c r="K40" s="4"/>
      <c r="L40" s="4"/>
      <c r="M40" s="4"/>
      <c r="N40" s="4"/>
      <c r="O40" s="4"/>
      <c r="Q40" s="4" t="s">
        <v>1</v>
      </c>
      <c r="R40" s="4">
        <f>INDEX('Calculated Stats'!D$66:D$75, MATCH(Q40, 'Calculated Stats'!B$66:B$75, 0))</f>
        <v>9</v>
      </c>
      <c r="S40" s="4">
        <f>ROUND(R40/R$38*100,0)</f>
        <v>38</v>
      </c>
      <c r="T40" s="4"/>
      <c r="U40" s="4"/>
      <c r="V40" s="4"/>
      <c r="W40" s="4"/>
    </row>
    <row r="41" spans="9:23" x14ac:dyDescent="0.2">
      <c r="I41" s="4" t="s">
        <v>39</v>
      </c>
      <c r="J41" s="4">
        <v>1</v>
      </c>
      <c r="K41" s="4"/>
      <c r="L41" s="4"/>
      <c r="M41" s="4"/>
      <c r="N41" s="4"/>
      <c r="O41" s="4"/>
      <c r="Q41" s="4" t="s">
        <v>6</v>
      </c>
      <c r="R41" s="4">
        <f>INDEX('Calculated Stats'!D$66:D$75, MATCH(Q41, 'Calculated Stats'!B$66:B$75, 0))</f>
        <v>14.5</v>
      </c>
      <c r="S41" s="4">
        <f t="shared" ref="S41:S42" si="1">ROUND(R41/R$38*100,0)</f>
        <v>62</v>
      </c>
      <c r="T41" s="4"/>
      <c r="U41" s="4"/>
      <c r="V41" s="4"/>
      <c r="W41" s="4"/>
    </row>
    <row r="42" spans="9:23" x14ac:dyDescent="0.2">
      <c r="I42" s="4"/>
      <c r="J42" s="4"/>
      <c r="K42" s="4"/>
      <c r="L42" s="4"/>
      <c r="M42" s="4"/>
      <c r="N42" s="4"/>
      <c r="O42" s="4"/>
      <c r="Q42" s="4" t="s">
        <v>3</v>
      </c>
      <c r="R42" s="4">
        <f>INDEX('Calculated Stats'!D$66:D$75, MATCH(Q42, 'Calculated Stats'!B$66:B$75, 0))</f>
        <v>0</v>
      </c>
      <c r="S42" s="4">
        <f t="shared" si="1"/>
        <v>0</v>
      </c>
      <c r="T42" s="4"/>
      <c r="U42" s="4"/>
      <c r="V42" s="4"/>
      <c r="W42" s="4"/>
    </row>
    <row r="43" spans="9:23" x14ac:dyDescent="0.2">
      <c r="I43" s="4" t="s">
        <v>77</v>
      </c>
      <c r="J43" s="4">
        <f>'Calculated Stats'!E107</f>
        <v>23</v>
      </c>
      <c r="K43" s="4"/>
      <c r="L43" s="4"/>
      <c r="M43" s="4"/>
      <c r="N43" s="4"/>
      <c r="O43" s="4"/>
      <c r="Q43" s="4"/>
      <c r="R43" s="4"/>
      <c r="S43" s="4"/>
      <c r="T43" s="4"/>
      <c r="U43" s="4"/>
      <c r="V43" s="4"/>
      <c r="W43" s="4"/>
    </row>
    <row r="44" spans="9:23" x14ac:dyDescent="0.2">
      <c r="I44" s="4" t="s">
        <v>78</v>
      </c>
      <c r="J44" s="4">
        <f>'Calculated Stats'!C107</f>
        <v>26.5</v>
      </c>
      <c r="K44" s="4"/>
      <c r="L44" s="4"/>
      <c r="M44" s="4"/>
      <c r="N44" s="4"/>
      <c r="O44" s="4"/>
      <c r="Q44" s="4"/>
      <c r="R44" s="4"/>
      <c r="S44" s="4"/>
      <c r="T44" s="4"/>
      <c r="U44" s="4"/>
      <c r="V44" s="4"/>
      <c r="W44" s="4"/>
    </row>
    <row r="45" spans="9:23" x14ac:dyDescent="0.2">
      <c r="I45" s="4"/>
      <c r="J45" s="4"/>
      <c r="K45" s="4"/>
      <c r="L45" s="4"/>
      <c r="M45" s="4"/>
      <c r="N45" s="4"/>
      <c r="O45" s="4"/>
      <c r="Q45" s="4"/>
      <c r="R45" s="4"/>
      <c r="S45" s="4"/>
      <c r="T45" s="4"/>
      <c r="U45" s="4"/>
      <c r="V45" s="4"/>
      <c r="W45" s="4"/>
    </row>
    <row r="48" spans="9:23" x14ac:dyDescent="0.2">
      <c r="I48" s="26" t="s">
        <v>54</v>
      </c>
      <c r="J48" s="25"/>
      <c r="K48" s="25"/>
      <c r="L48" s="25"/>
      <c r="M48" s="25"/>
      <c r="N48" s="25"/>
      <c r="O48" s="25"/>
    </row>
    <row r="49" spans="9:15" x14ac:dyDescent="0.2">
      <c r="I49" s="4"/>
      <c r="J49" s="4" t="s">
        <v>11</v>
      </c>
      <c r="K49" s="4"/>
      <c r="L49" s="4"/>
      <c r="M49" s="4"/>
      <c r="N49" s="4"/>
      <c r="O49" s="4"/>
    </row>
    <row r="50" spans="9:15" x14ac:dyDescent="0.2">
      <c r="I50" s="4" t="s">
        <v>55</v>
      </c>
      <c r="J50" s="4">
        <f>'Calculated Stats'!C135</f>
        <v>13</v>
      </c>
      <c r="K50" s="4"/>
      <c r="L50" s="4"/>
      <c r="M50" s="4"/>
      <c r="N50" s="4"/>
      <c r="O50" s="4"/>
    </row>
    <row r="51" spans="9:15" x14ac:dyDescent="0.2">
      <c r="I51" s="4"/>
      <c r="J51" s="4"/>
      <c r="K51" s="4"/>
      <c r="L51" s="4"/>
      <c r="M51" s="4"/>
      <c r="N51" s="4"/>
      <c r="O51" s="4"/>
    </row>
    <row r="52" spans="9:15" x14ac:dyDescent="0.2">
      <c r="I52" s="76" t="s">
        <v>79</v>
      </c>
      <c r="J52" s="4" t="e">
        <f>GETPIVOTDATA("[Measures].[Count of Issue key]",#REF!)</f>
        <v>#REF!</v>
      </c>
      <c r="K52" s="4"/>
      <c r="L52" s="4"/>
      <c r="M52" s="4"/>
      <c r="N52" s="4"/>
      <c r="O52" s="4"/>
    </row>
    <row r="53" spans="9:15" x14ac:dyDescent="0.2">
      <c r="I53" s="4" t="s">
        <v>80</v>
      </c>
      <c r="J53" s="4">
        <f>'Calculated Stats'!E108</f>
        <v>64</v>
      </c>
      <c r="K53" s="4"/>
      <c r="L53" s="4"/>
      <c r="M53" s="4"/>
      <c r="N53" s="4"/>
      <c r="O53" s="4"/>
    </row>
    <row r="54" spans="9:15" x14ac:dyDescent="0.2">
      <c r="I54" s="4"/>
      <c r="J54" s="4"/>
      <c r="K54" s="4"/>
      <c r="L54" s="4"/>
      <c r="M54" s="4"/>
      <c r="N54" s="4"/>
      <c r="O54" s="4"/>
    </row>
    <row r="57" spans="9:15" x14ac:dyDescent="0.2">
      <c r="I57" s="26" t="s">
        <v>36</v>
      </c>
      <c r="J57" s="25"/>
      <c r="K57" s="25"/>
      <c r="L57" s="25"/>
      <c r="M57" s="25"/>
      <c r="N57" s="25"/>
      <c r="O57" s="25"/>
    </row>
    <row r="58" spans="9:15" x14ac:dyDescent="0.2">
      <c r="I58" s="4"/>
      <c r="J58" s="4"/>
      <c r="K58" s="4"/>
      <c r="L58" s="4"/>
      <c r="M58" s="4"/>
      <c r="N58" s="4"/>
      <c r="O58" s="4"/>
    </row>
    <row r="59" spans="9:15" x14ac:dyDescent="0.2">
      <c r="I59" s="4" t="s">
        <v>56</v>
      </c>
      <c r="J59" s="4">
        <f>'Calculated Stats'!C131</f>
        <v>43</v>
      </c>
      <c r="K59" s="4" t="str">
        <f>_xlfn.CONCAT(J59,"%")</f>
        <v>43%</v>
      </c>
      <c r="L59" s="4"/>
      <c r="M59" s="4"/>
      <c r="N59" s="4"/>
      <c r="O59" s="4"/>
    </row>
    <row r="60" spans="9:15" x14ac:dyDescent="0.2">
      <c r="I60" s="4" t="s">
        <v>89</v>
      </c>
      <c r="J60" s="4">
        <f>'Calculated Stats'!C124</f>
        <v>30</v>
      </c>
      <c r="K60" s="4" t="str">
        <f>_xlfn.CONCAT(J60,"%")</f>
        <v>30%</v>
      </c>
      <c r="L60" s="4"/>
      <c r="M60" s="4"/>
      <c r="N60" s="4"/>
      <c r="O60" s="4"/>
    </row>
    <row r="61" spans="9:15" x14ac:dyDescent="0.2">
      <c r="I61" s="4"/>
      <c r="J61" s="4"/>
      <c r="K61" s="4"/>
      <c r="L61" s="4"/>
      <c r="M61" s="4"/>
      <c r="N61" s="4"/>
      <c r="O61" s="4"/>
    </row>
    <row r="62" spans="9:15" x14ac:dyDescent="0.2">
      <c r="I62" s="4" t="s">
        <v>81</v>
      </c>
      <c r="J62" s="4">
        <f>'Calculated Stats'!E107</f>
        <v>23</v>
      </c>
      <c r="K62" s="4"/>
      <c r="L62" s="4"/>
      <c r="M62" s="4"/>
      <c r="N62" s="4"/>
      <c r="O62" s="4"/>
    </row>
    <row r="63" spans="9:15" x14ac:dyDescent="0.2">
      <c r="I63" s="4" t="s">
        <v>82</v>
      </c>
      <c r="J63" s="4">
        <f>'Calculated Stats'!C107</f>
        <v>26.5</v>
      </c>
      <c r="K63" s="4"/>
      <c r="L63" s="4"/>
      <c r="M63" s="4"/>
      <c r="N63" s="4"/>
      <c r="O63" s="4"/>
    </row>
    <row r="64" spans="9:15" x14ac:dyDescent="0.2">
      <c r="I64" s="4"/>
      <c r="J64" s="4"/>
      <c r="K64" s="4"/>
      <c r="L64" s="4"/>
      <c r="M64" s="4"/>
      <c r="N64" s="4"/>
      <c r="O64" s="4"/>
    </row>
    <row r="65" spans="9:15" x14ac:dyDescent="0.2">
      <c r="I65" s="4"/>
      <c r="J65" s="4"/>
      <c r="K65" s="4"/>
      <c r="L65" s="4"/>
      <c r="M65" s="4"/>
      <c r="N65" s="4"/>
      <c r="O65" s="4"/>
    </row>
    <row r="66" spans="9:15" x14ac:dyDescent="0.2">
      <c r="I66" s="4"/>
      <c r="J66" s="4"/>
      <c r="K66" s="4"/>
      <c r="L66" s="4"/>
      <c r="M66" s="4"/>
      <c r="N66" s="4"/>
      <c r="O66" s="4"/>
    </row>
    <row r="67" spans="9:15" x14ac:dyDescent="0.2">
      <c r="I67" s="4"/>
      <c r="J67" s="4"/>
      <c r="K67" s="4"/>
      <c r="L67" s="4"/>
      <c r="M67" s="4"/>
      <c r="N67" s="4"/>
      <c r="O67" s="4"/>
    </row>
    <row r="70" spans="9:15" x14ac:dyDescent="0.2">
      <c r="I70" s="26" t="s">
        <v>57</v>
      </c>
      <c r="J70" s="25"/>
      <c r="K70" s="25"/>
      <c r="L70" s="25"/>
      <c r="M70" s="25"/>
      <c r="N70" s="25"/>
      <c r="O70" s="25"/>
    </row>
    <row r="71" spans="9:15" x14ac:dyDescent="0.2">
      <c r="I71" s="4"/>
      <c r="J71" s="4"/>
      <c r="K71" s="4"/>
      <c r="L71" s="4"/>
      <c r="M71" s="4"/>
      <c r="N71" s="4"/>
      <c r="O71" s="4"/>
    </row>
    <row r="72" spans="9:15" x14ac:dyDescent="0.2">
      <c r="I72" s="4" t="s">
        <v>83</v>
      </c>
      <c r="J72" s="4">
        <f>'Calculated Stats'!C130</f>
        <v>11.5</v>
      </c>
      <c r="K72" s="4"/>
      <c r="L72" s="4"/>
      <c r="M72" s="4"/>
      <c r="N72" s="4"/>
      <c r="O72" s="4"/>
    </row>
    <row r="73" spans="9:15" x14ac:dyDescent="0.2">
      <c r="I73" s="4"/>
      <c r="J73" s="4" t="s">
        <v>9</v>
      </c>
      <c r="K73" s="54" t="s">
        <v>11</v>
      </c>
      <c r="L73" s="4"/>
      <c r="M73" s="4"/>
      <c r="N73" s="4"/>
      <c r="O73" s="4"/>
    </row>
    <row r="74" spans="9:15" x14ac:dyDescent="0.2">
      <c r="I74" s="4" t="str">
        <f>'Calculated Stats'!B127</f>
        <v>BAU</v>
      </c>
      <c r="J74" s="4">
        <f>'Calculated Stats'!C127</f>
        <v>0</v>
      </c>
      <c r="K74" s="54">
        <f>IF(ISERROR(J74/J$72*100),"",J74/J$72*100)</f>
        <v>0</v>
      </c>
      <c r="L74" s="4"/>
      <c r="M74" s="4"/>
      <c r="N74" s="4"/>
      <c r="O74" s="4"/>
    </row>
    <row r="75" spans="9:15" x14ac:dyDescent="0.2">
      <c r="I75" s="4" t="str">
        <f>'Calculated Stats'!B128</f>
        <v>Improvement</v>
      </c>
      <c r="J75" s="4">
        <f>'Calculated Stats'!C128</f>
        <v>11.5</v>
      </c>
      <c r="K75" s="54">
        <f>IF(ISERROR(J75/J$72*100),"",J75/J$72*100)</f>
        <v>100</v>
      </c>
      <c r="L75" s="4"/>
      <c r="M75" s="4"/>
      <c r="N75" s="4"/>
      <c r="O75" s="4"/>
    </row>
    <row r="76" spans="9:15" x14ac:dyDescent="0.2">
      <c r="I76" s="4"/>
      <c r="J76" s="4"/>
      <c r="K76" s="54"/>
      <c r="L76" s="4"/>
      <c r="M76" s="4"/>
      <c r="N76" s="4"/>
      <c r="O76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B467-4B25-403D-8384-48D44A502FD7}">
  <sheetPr>
    <tabColor rgb="FFCCCC00"/>
  </sheetPr>
  <dimension ref="A1:N221"/>
  <sheetViews>
    <sheetView zoomScale="115" zoomScaleNormal="115" workbookViewId="0">
      <selection activeCell="H143" sqref="H143"/>
    </sheetView>
  </sheetViews>
  <sheetFormatPr baseColWidth="10" defaultColWidth="8.83203125" defaultRowHeight="15" x14ac:dyDescent="0.2"/>
  <cols>
    <col min="1" max="1" width="2" style="133" customWidth="1"/>
    <col min="2" max="2" width="39.1640625" bestFit="1" customWidth="1"/>
    <col min="3" max="3" width="23.5" bestFit="1" customWidth="1"/>
    <col min="4" max="4" width="21.33203125" customWidth="1"/>
    <col min="5" max="5" width="9.5" bestFit="1" customWidth="1"/>
    <col min="6" max="6" width="19.6640625" bestFit="1" customWidth="1"/>
    <col min="7" max="7" width="5" bestFit="1" customWidth="1"/>
    <col min="8" max="8" width="6.33203125" style="133" bestFit="1" customWidth="1"/>
    <col min="9" max="10" width="10.6640625" style="133" bestFit="1" customWidth="1"/>
    <col min="11" max="12" width="8.83203125" style="133"/>
    <col min="13" max="13" width="3.1640625" style="133" customWidth="1"/>
    <col min="14" max="14" width="48" style="133" customWidth="1"/>
    <col min="16" max="16" width="17.33203125" bestFit="1" customWidth="1"/>
    <col min="17" max="17" width="15.33203125" bestFit="1" customWidth="1"/>
    <col min="18" max="18" width="9.6640625" bestFit="1" customWidth="1"/>
    <col min="19" max="19" width="10.1640625" bestFit="1" customWidth="1"/>
    <col min="20" max="21" width="8.83203125" bestFit="1" customWidth="1"/>
    <col min="22" max="22" width="4.5" bestFit="1" customWidth="1"/>
    <col min="23" max="23" width="5.83203125" bestFit="1" customWidth="1"/>
    <col min="24" max="24" width="10.6640625" bestFit="1" customWidth="1"/>
    <col min="25" max="25" width="1.83203125" bestFit="1" customWidth="1"/>
    <col min="26" max="26" width="3.83203125" bestFit="1" customWidth="1"/>
    <col min="27" max="27" width="1.83203125" bestFit="1" customWidth="1"/>
    <col min="28" max="28" width="3.83203125" bestFit="1" customWidth="1"/>
    <col min="29" max="29" width="1.83203125" bestFit="1" customWidth="1"/>
    <col min="30" max="30" width="10.6640625" bestFit="1" customWidth="1"/>
  </cols>
  <sheetData>
    <row r="1" spans="2:7" s="59" customFormat="1" ht="26" x14ac:dyDescent="0.3">
      <c r="B1" s="60" t="s">
        <v>90</v>
      </c>
    </row>
    <row r="2" spans="2:7" s="62" customFormat="1" x14ac:dyDescent="0.2">
      <c r="B2" s="62" t="s">
        <v>92</v>
      </c>
      <c r="F2" s="63"/>
    </row>
    <row r="3" spans="2:7" x14ac:dyDescent="0.2">
      <c r="B3" s="133"/>
      <c r="C3" s="133"/>
      <c r="D3" s="133"/>
      <c r="E3" s="133"/>
      <c r="F3" s="134"/>
      <c r="G3" s="133"/>
    </row>
    <row r="4" spans="2:7" x14ac:dyDescent="0.2">
      <c r="B4" s="133"/>
      <c r="C4" s="133"/>
      <c r="D4" s="133"/>
      <c r="E4" s="133"/>
      <c r="F4" s="134"/>
      <c r="G4" s="133"/>
    </row>
    <row r="5" spans="2:7" ht="16" thickBot="1" x14ac:dyDescent="0.25">
      <c r="B5" s="133"/>
      <c r="C5" s="133"/>
      <c r="D5" s="133"/>
      <c r="E5" s="133"/>
      <c r="F5" s="134"/>
      <c r="G5" s="133"/>
    </row>
    <row r="6" spans="2:7" ht="40" customHeight="1" x14ac:dyDescent="0.2">
      <c r="B6" s="125" t="s">
        <v>201</v>
      </c>
      <c r="C6" s="126"/>
      <c r="D6" s="133"/>
      <c r="E6" s="133"/>
      <c r="F6" s="134"/>
      <c r="G6" s="133"/>
    </row>
    <row r="7" spans="2:7" x14ac:dyDescent="0.2">
      <c r="B7" s="77" t="s">
        <v>185</v>
      </c>
      <c r="C7" s="80" t="s">
        <v>186</v>
      </c>
      <c r="D7" s="133"/>
      <c r="E7" s="133"/>
      <c r="F7" s="134"/>
      <c r="G7" s="133"/>
    </row>
    <row r="8" spans="2:7" x14ac:dyDescent="0.2">
      <c r="B8" s="78" t="s">
        <v>2</v>
      </c>
      <c r="C8" s="81" t="s">
        <v>3</v>
      </c>
      <c r="D8" s="133"/>
      <c r="E8" s="133"/>
      <c r="F8" s="134"/>
      <c r="G8" s="133"/>
    </row>
    <row r="9" spans="2:7" x14ac:dyDescent="0.2">
      <c r="B9" s="78" t="s">
        <v>58</v>
      </c>
      <c r="C9" s="81" t="s">
        <v>1</v>
      </c>
      <c r="D9" s="133"/>
      <c r="E9" s="133"/>
      <c r="F9" s="134"/>
      <c r="G9" s="133"/>
    </row>
    <row r="10" spans="2:7" x14ac:dyDescent="0.2">
      <c r="B10" s="78" t="s">
        <v>4</v>
      </c>
      <c r="C10" s="81" t="s">
        <v>6</v>
      </c>
      <c r="D10" s="133"/>
      <c r="E10" s="133"/>
      <c r="F10" s="134"/>
      <c r="G10" s="133"/>
    </row>
    <row r="11" spans="2:7" x14ac:dyDescent="0.2">
      <c r="B11" s="78" t="s">
        <v>7</v>
      </c>
      <c r="C11" s="81"/>
      <c r="D11" s="133"/>
      <c r="E11" s="133"/>
      <c r="F11" s="134"/>
      <c r="G11" s="133"/>
    </row>
    <row r="12" spans="2:7" x14ac:dyDescent="0.2">
      <c r="B12" s="78">
        <v>5</v>
      </c>
      <c r="C12" s="81">
        <v>5</v>
      </c>
      <c r="D12" s="133"/>
      <c r="E12" s="133"/>
      <c r="F12" s="134"/>
      <c r="G12" s="133"/>
    </row>
    <row r="13" spans="2:7" x14ac:dyDescent="0.2">
      <c r="B13" s="78">
        <v>6</v>
      </c>
      <c r="C13" s="81">
        <v>6</v>
      </c>
      <c r="D13" s="133"/>
      <c r="E13" s="133"/>
      <c r="F13" s="134"/>
      <c r="G13" s="133"/>
    </row>
    <row r="14" spans="2:7" x14ac:dyDescent="0.2">
      <c r="B14" s="78">
        <v>7</v>
      </c>
      <c r="C14" s="81">
        <v>7</v>
      </c>
      <c r="D14" s="133"/>
      <c r="E14" s="133"/>
      <c r="F14" s="134"/>
      <c r="G14" s="133"/>
    </row>
    <row r="15" spans="2:7" x14ac:dyDescent="0.2">
      <c r="B15" s="78">
        <v>8</v>
      </c>
      <c r="C15" s="81">
        <v>8</v>
      </c>
      <c r="D15" s="133"/>
      <c r="E15" s="133"/>
      <c r="F15" s="134"/>
      <c r="G15" s="133"/>
    </row>
    <row r="16" spans="2:7" x14ac:dyDescent="0.2">
      <c r="B16" s="78">
        <v>9</v>
      </c>
      <c r="C16" s="81">
        <v>9</v>
      </c>
      <c r="D16" s="133"/>
      <c r="E16" s="133"/>
      <c r="F16" s="134"/>
      <c r="G16" s="133"/>
    </row>
    <row r="17" spans="2:7" ht="16" thickBot="1" x14ac:dyDescent="0.25">
      <c r="B17" s="79">
        <v>10</v>
      </c>
      <c r="C17" s="82">
        <v>10</v>
      </c>
      <c r="D17" s="133"/>
      <c r="E17" s="133"/>
      <c r="F17" s="134"/>
      <c r="G17" s="133"/>
    </row>
    <row r="18" spans="2:7" x14ac:dyDescent="0.2">
      <c r="B18" s="133"/>
      <c r="C18" s="133"/>
      <c r="D18" s="133"/>
      <c r="E18" s="133"/>
      <c r="F18" s="134"/>
      <c r="G18" s="133"/>
    </row>
    <row r="19" spans="2:7" x14ac:dyDescent="0.2">
      <c r="B19" s="133"/>
      <c r="C19" s="133"/>
      <c r="D19" s="133"/>
      <c r="E19" s="133"/>
      <c r="F19" s="134"/>
      <c r="G19" s="133"/>
    </row>
    <row r="20" spans="2:7" x14ac:dyDescent="0.2">
      <c r="B20" s="101" t="s">
        <v>209</v>
      </c>
      <c r="C20" s="101"/>
      <c r="D20" s="133"/>
      <c r="E20" s="133"/>
      <c r="F20" s="134"/>
      <c r="G20" s="133"/>
    </row>
    <row r="21" spans="2:7" x14ac:dyDescent="0.2">
      <c r="B21" s="11" t="s">
        <v>210</v>
      </c>
      <c r="C21" s="11" t="str">
        <f>'processed | data'!B6</f>
        <v>Q24-4.8</v>
      </c>
      <c r="D21" s="133"/>
      <c r="E21" s="133"/>
      <c r="F21" s="134"/>
      <c r="G21" s="133"/>
    </row>
    <row r="22" spans="2:7" x14ac:dyDescent="0.2">
      <c r="B22" s="11" t="s">
        <v>211</v>
      </c>
      <c r="C22" s="11" t="str">
        <f>'processed | data'!B7</f>
        <v>Architecture &amp; Engineering</v>
      </c>
      <c r="D22" s="133"/>
      <c r="E22" s="133"/>
      <c r="F22" s="134"/>
      <c r="G22" s="133"/>
    </row>
    <row r="23" spans="2:7" x14ac:dyDescent="0.2">
      <c r="B23" s="11" t="s">
        <v>212</v>
      </c>
      <c r="C23" s="11" t="str">
        <f>TEXT('processed | data'!B8, "DD/MM/YYYY")</f>
        <v>03/07/2024</v>
      </c>
      <c r="D23" s="133"/>
      <c r="E23" s="133"/>
      <c r="F23" s="134"/>
      <c r="G23" s="133"/>
    </row>
    <row r="24" spans="2:7" x14ac:dyDescent="0.2">
      <c r="B24" s="11" t="s">
        <v>213</v>
      </c>
      <c r="C24" s="11" t="str">
        <f>TEXT('processed | data'!B9, "DD/MM/YYYY")</f>
        <v>18/07/2024</v>
      </c>
      <c r="D24" s="133"/>
      <c r="E24" s="133"/>
      <c r="F24" s="134"/>
      <c r="G24" s="133"/>
    </row>
    <row r="25" spans="2:7" x14ac:dyDescent="0.2">
      <c r="B25" s="133"/>
      <c r="C25" s="133"/>
      <c r="D25" s="133"/>
      <c r="E25" s="133"/>
      <c r="F25" s="134"/>
      <c r="G25" s="133"/>
    </row>
    <row r="26" spans="2:7" x14ac:dyDescent="0.2">
      <c r="B26" s="133"/>
      <c r="C26" s="133"/>
      <c r="D26" s="133"/>
      <c r="E26" s="133"/>
      <c r="F26" s="134"/>
      <c r="G26" s="133"/>
    </row>
    <row r="27" spans="2:7" x14ac:dyDescent="0.2">
      <c r="B27" s="133"/>
      <c r="C27" s="133"/>
      <c r="D27" s="133"/>
      <c r="E27" s="133"/>
      <c r="F27" s="134"/>
      <c r="G27" s="133"/>
    </row>
    <row r="28" spans="2:7" x14ac:dyDescent="0.2">
      <c r="B28" s="133"/>
      <c r="C28" s="133"/>
      <c r="D28" s="133"/>
      <c r="E28" s="133"/>
      <c r="F28" s="134"/>
      <c r="G28" s="133"/>
    </row>
    <row r="29" spans="2:7" x14ac:dyDescent="0.2">
      <c r="B29" s="133"/>
      <c r="C29" s="133"/>
      <c r="D29" s="133"/>
      <c r="E29" s="133"/>
      <c r="F29" s="134"/>
      <c r="G29" s="133"/>
    </row>
    <row r="30" spans="2:7" x14ac:dyDescent="0.2">
      <c r="B30" s="133"/>
      <c r="C30" s="133"/>
      <c r="D30" s="133"/>
      <c r="E30" s="133"/>
      <c r="F30" s="134"/>
      <c r="G30" s="133"/>
    </row>
    <row r="31" spans="2:7" ht="16" thickBot="1" x14ac:dyDescent="0.25">
      <c r="B31" s="133"/>
      <c r="C31" s="133"/>
      <c r="D31" s="133"/>
      <c r="E31" s="133"/>
      <c r="F31" s="134"/>
      <c r="G31" s="133"/>
    </row>
    <row r="32" spans="2:7" ht="27.5" customHeight="1" x14ac:dyDescent="0.2">
      <c r="B32" s="125" t="s">
        <v>203</v>
      </c>
      <c r="C32" s="126"/>
      <c r="D32" s="28"/>
      <c r="E32" s="28"/>
      <c r="F32" s="96"/>
      <c r="G32" s="133"/>
    </row>
    <row r="33" spans="2:14" x14ac:dyDescent="0.2">
      <c r="B33" s="133"/>
      <c r="C33" s="133"/>
      <c r="D33" s="133"/>
      <c r="E33" s="133"/>
      <c r="F33" s="133"/>
      <c r="G33" s="133"/>
      <c r="N33" s="134"/>
    </row>
    <row r="34" spans="2:14" ht="16" thickBot="1" x14ac:dyDescent="0.25">
      <c r="B34" s="9" t="s">
        <v>30</v>
      </c>
      <c r="C34" s="130" t="s">
        <v>9</v>
      </c>
      <c r="D34" s="130"/>
      <c r="E34" s="133"/>
      <c r="F34" s="133"/>
      <c r="G34" s="132"/>
      <c r="N34" s="135"/>
    </row>
    <row r="35" spans="2:14" x14ac:dyDescent="0.2">
      <c r="B35" s="83" t="s">
        <v>202</v>
      </c>
      <c r="C35" s="73" t="s">
        <v>45</v>
      </c>
      <c r="D35" s="73" t="s">
        <v>32</v>
      </c>
      <c r="E35" s="133"/>
      <c r="F35" s="133"/>
      <c r="G35" s="132"/>
      <c r="N35" s="135"/>
    </row>
    <row r="36" spans="2:14" x14ac:dyDescent="0.2">
      <c r="B36" s="84" t="str">
        <f>B8</f>
        <v>BAU</v>
      </c>
      <c r="C36" s="4">
        <f>'processed | data'!B17</f>
        <v>20.5</v>
      </c>
      <c r="D36" s="4">
        <f>'processed | data'!B28</f>
        <v>0</v>
      </c>
      <c r="E36" s="133"/>
      <c r="F36" s="133"/>
      <c r="G36" s="133"/>
      <c r="N36" s="135"/>
    </row>
    <row r="37" spans="2:14" x14ac:dyDescent="0.2">
      <c r="B37" s="84" t="str">
        <f t="shared" ref="B37:B45" si="0">B9</f>
        <v>Improvement</v>
      </c>
      <c r="C37" s="4">
        <f>'processed | data'!B18</f>
        <v>0</v>
      </c>
      <c r="D37" s="4">
        <f>'processed | data'!B29</f>
        <v>11.5</v>
      </c>
      <c r="E37" s="133"/>
      <c r="F37" s="133"/>
      <c r="G37" s="133"/>
      <c r="N37" s="135"/>
    </row>
    <row r="38" spans="2:14" x14ac:dyDescent="0.2">
      <c r="B38" s="84" t="str">
        <f t="shared" si="0"/>
        <v>Convergence</v>
      </c>
      <c r="C38" s="4">
        <f>'processed | data'!B19</f>
        <v>16.5</v>
      </c>
      <c r="D38" s="4">
        <f>'processed | data'!B30</f>
        <v>0</v>
      </c>
      <c r="E38" s="133"/>
      <c r="F38" s="133"/>
      <c r="G38" s="133"/>
      <c r="N38" s="135"/>
    </row>
    <row r="39" spans="2:14" x14ac:dyDescent="0.2">
      <c r="B39" s="84" t="str">
        <f t="shared" si="0"/>
        <v>Project</v>
      </c>
      <c r="C39" s="4">
        <f>'processed | data'!B20</f>
        <v>41.5</v>
      </c>
      <c r="D39" s="4">
        <f>'processed | data'!B31</f>
        <v>5.5</v>
      </c>
      <c r="E39" s="133"/>
      <c r="F39" s="133"/>
      <c r="G39" s="133"/>
      <c r="N39" s="135"/>
    </row>
    <row r="40" spans="2:14" x14ac:dyDescent="0.2">
      <c r="B40" s="84">
        <f t="shared" si="0"/>
        <v>5</v>
      </c>
      <c r="C40" s="4">
        <f>'processed | data'!B21</f>
        <v>0</v>
      </c>
      <c r="D40" s="4">
        <f>'processed | data'!B32</f>
        <v>9.5</v>
      </c>
      <c r="E40" s="133"/>
      <c r="F40" s="133"/>
      <c r="G40" s="133"/>
      <c r="N40" s="135"/>
    </row>
    <row r="41" spans="2:14" x14ac:dyDescent="0.2">
      <c r="B41" s="84">
        <f t="shared" si="0"/>
        <v>6</v>
      </c>
      <c r="C41" s="4">
        <f>'processed | data'!B22</f>
        <v>0</v>
      </c>
      <c r="D41" s="4">
        <f>'processed | data'!B33</f>
        <v>0</v>
      </c>
      <c r="E41" s="133"/>
      <c r="F41" s="133"/>
      <c r="G41" s="133"/>
      <c r="N41" s="135"/>
    </row>
    <row r="42" spans="2:14" x14ac:dyDescent="0.2">
      <c r="B42" s="84">
        <f t="shared" si="0"/>
        <v>7</v>
      </c>
      <c r="C42" s="4">
        <f>'processed | data'!B23</f>
        <v>0</v>
      </c>
      <c r="D42" s="4">
        <f>'processed | data'!B34</f>
        <v>0</v>
      </c>
      <c r="E42" s="133"/>
      <c r="F42" s="133"/>
      <c r="G42" s="133"/>
      <c r="N42" s="135"/>
    </row>
    <row r="43" spans="2:14" x14ac:dyDescent="0.2">
      <c r="B43" s="84">
        <f t="shared" si="0"/>
        <v>8</v>
      </c>
      <c r="C43" s="4">
        <f>'processed | data'!B26</f>
        <v>0</v>
      </c>
      <c r="D43" s="4">
        <f>'processed | data'!B35</f>
        <v>0</v>
      </c>
      <c r="E43" s="133"/>
      <c r="F43" s="133"/>
      <c r="G43" s="133"/>
      <c r="N43" s="135"/>
    </row>
    <row r="44" spans="2:14" x14ac:dyDescent="0.2">
      <c r="B44" s="84">
        <f t="shared" si="0"/>
        <v>9</v>
      </c>
      <c r="C44" s="4">
        <f>'processed | data'!B27</f>
        <v>0</v>
      </c>
      <c r="D44" s="4">
        <f>'processed | data'!B36</f>
        <v>0</v>
      </c>
      <c r="E44" s="133"/>
      <c r="F44" s="133"/>
      <c r="G44" s="133"/>
      <c r="N44" s="135"/>
    </row>
    <row r="45" spans="2:14" ht="16" thickBot="1" x14ac:dyDescent="0.25">
      <c r="B45" s="85">
        <f t="shared" si="0"/>
        <v>10</v>
      </c>
      <c r="C45" s="4">
        <f>'processed | data'!B28</f>
        <v>0</v>
      </c>
      <c r="D45" s="4">
        <f>'processed | data'!B37</f>
        <v>0</v>
      </c>
      <c r="E45" s="133"/>
      <c r="F45" s="133"/>
      <c r="G45" s="133"/>
      <c r="N45" s="135"/>
    </row>
    <row r="46" spans="2:14" x14ac:dyDescent="0.2">
      <c r="B46" s="133"/>
      <c r="C46" s="133"/>
      <c r="D46" s="133"/>
      <c r="E46" s="133"/>
      <c r="F46" s="133"/>
      <c r="G46" s="133"/>
      <c r="N46" s="136"/>
    </row>
    <row r="47" spans="2:14" x14ac:dyDescent="0.2">
      <c r="B47" s="133"/>
      <c r="C47" s="133"/>
      <c r="D47" s="133"/>
      <c r="E47" s="133"/>
      <c r="F47" s="133"/>
      <c r="G47" s="133"/>
      <c r="N47" s="135"/>
    </row>
    <row r="48" spans="2:14" x14ac:dyDescent="0.2">
      <c r="B48" s="133"/>
      <c r="C48" s="133"/>
      <c r="D48" s="133"/>
      <c r="E48" s="133"/>
      <c r="F48" s="133"/>
      <c r="G48" s="133"/>
      <c r="N48" s="135"/>
    </row>
    <row r="49" spans="2:14" ht="16" thickBot="1" x14ac:dyDescent="0.25">
      <c r="B49" s="9" t="s">
        <v>30</v>
      </c>
      <c r="C49" s="130" t="s">
        <v>88</v>
      </c>
      <c r="D49" s="130"/>
      <c r="E49" s="133"/>
      <c r="F49" s="133"/>
      <c r="G49" s="133"/>
      <c r="N49" s="135"/>
    </row>
    <row r="50" spans="2:14" x14ac:dyDescent="0.2">
      <c r="B50" s="83" t="s">
        <v>202</v>
      </c>
      <c r="C50" s="9" t="s">
        <v>45</v>
      </c>
      <c r="D50" s="9" t="s">
        <v>32</v>
      </c>
      <c r="E50" s="133"/>
      <c r="F50" s="133"/>
      <c r="G50" s="133"/>
      <c r="N50" s="135"/>
    </row>
    <row r="51" spans="2:14" x14ac:dyDescent="0.2">
      <c r="B51" s="84" t="str">
        <f>B8</f>
        <v>BAU</v>
      </c>
      <c r="C51" s="4">
        <f>'processed | data'!B68</f>
        <v>20</v>
      </c>
      <c r="D51" s="4">
        <f>'processed | data'!B80</f>
        <v>9</v>
      </c>
      <c r="E51" s="133"/>
      <c r="F51" s="133"/>
      <c r="G51" s="133"/>
      <c r="N51" s="135"/>
    </row>
    <row r="52" spans="2:14" x14ac:dyDescent="0.2">
      <c r="B52" s="84" t="str">
        <f t="shared" ref="B52:B60" si="1">B9</f>
        <v>Improvement</v>
      </c>
      <c r="C52" s="4">
        <f>'processed | data'!B69</f>
        <v>0</v>
      </c>
      <c r="D52" s="4">
        <f>'processed | data'!B81</f>
        <v>0</v>
      </c>
      <c r="E52" s="133"/>
      <c r="F52" s="133"/>
      <c r="G52" s="133"/>
      <c r="N52" s="135"/>
    </row>
    <row r="53" spans="2:14" x14ac:dyDescent="0.2">
      <c r="B53" s="84" t="str">
        <f t="shared" si="1"/>
        <v>Convergence</v>
      </c>
      <c r="C53" s="4">
        <f>'processed | data'!B70</f>
        <v>14</v>
      </c>
      <c r="D53" s="4">
        <f>'processed | data'!B82</f>
        <v>4</v>
      </c>
      <c r="E53" s="133"/>
      <c r="F53" s="133"/>
      <c r="G53" s="133"/>
      <c r="N53" s="135"/>
    </row>
    <row r="54" spans="2:14" x14ac:dyDescent="0.2">
      <c r="B54" s="84" t="str">
        <f t="shared" si="1"/>
        <v>Project</v>
      </c>
      <c r="C54" s="4">
        <f>'processed | data'!B71</f>
        <v>30</v>
      </c>
      <c r="D54" s="4">
        <f>'processed | data'!B83</f>
        <v>10</v>
      </c>
      <c r="E54" s="133"/>
      <c r="F54" s="133"/>
      <c r="G54" s="133"/>
      <c r="N54" s="135"/>
    </row>
    <row r="55" spans="2:14" x14ac:dyDescent="0.2">
      <c r="B55" s="84">
        <f t="shared" si="1"/>
        <v>5</v>
      </c>
      <c r="C55" s="4">
        <f>'processed | data'!B72</f>
        <v>0</v>
      </c>
      <c r="D55" s="4">
        <f>'processed | data'!B84</f>
        <v>0</v>
      </c>
      <c r="E55" s="133"/>
      <c r="F55" s="133"/>
      <c r="G55" s="133"/>
      <c r="N55" s="135"/>
    </row>
    <row r="56" spans="2:14" x14ac:dyDescent="0.2">
      <c r="B56" s="84">
        <f t="shared" si="1"/>
        <v>6</v>
      </c>
      <c r="C56" s="4">
        <f>'processed | data'!B73</f>
        <v>0</v>
      </c>
      <c r="D56" s="4">
        <f>'processed | data'!B85</f>
        <v>0</v>
      </c>
      <c r="E56" s="133"/>
      <c r="F56" s="133"/>
      <c r="G56" s="133"/>
      <c r="N56" s="135"/>
    </row>
    <row r="57" spans="2:14" x14ac:dyDescent="0.2">
      <c r="B57" s="84">
        <f t="shared" si="1"/>
        <v>7</v>
      </c>
      <c r="C57" s="4">
        <f>'processed | data'!B74</f>
        <v>0</v>
      </c>
      <c r="D57" s="4">
        <f>'processed | data'!B86</f>
        <v>0</v>
      </c>
      <c r="E57" s="133"/>
      <c r="F57" s="133"/>
      <c r="G57" s="133"/>
      <c r="N57" s="135"/>
    </row>
    <row r="58" spans="2:14" x14ac:dyDescent="0.2">
      <c r="B58" s="84">
        <f t="shared" si="1"/>
        <v>8</v>
      </c>
      <c r="C58" s="4">
        <f>'processed | data'!B75</f>
        <v>0</v>
      </c>
      <c r="D58" s="4">
        <f>'processed | data'!B87</f>
        <v>0</v>
      </c>
      <c r="E58" s="133"/>
      <c r="F58" s="133"/>
      <c r="G58" s="133"/>
      <c r="N58" s="135"/>
    </row>
    <row r="59" spans="2:14" x14ac:dyDescent="0.2">
      <c r="B59" s="84">
        <f t="shared" si="1"/>
        <v>9</v>
      </c>
      <c r="C59" s="4">
        <f>'processed | data'!B76</f>
        <v>0</v>
      </c>
      <c r="D59" s="4">
        <f>'processed | data'!B88</f>
        <v>0</v>
      </c>
      <c r="E59" s="133"/>
      <c r="F59" s="133"/>
      <c r="G59" s="133"/>
      <c r="N59" s="135"/>
    </row>
    <row r="60" spans="2:14" ht="16" thickBot="1" x14ac:dyDescent="0.25">
      <c r="B60" s="85">
        <f t="shared" si="1"/>
        <v>10</v>
      </c>
      <c r="C60" s="4">
        <f>'processed | data'!B77</f>
        <v>0</v>
      </c>
      <c r="D60" s="4">
        <f>'processed | data'!B89</f>
        <v>0</v>
      </c>
      <c r="E60" s="133"/>
      <c r="F60" s="133"/>
      <c r="G60" s="133"/>
      <c r="N60" s="135"/>
    </row>
    <row r="61" spans="2:14" x14ac:dyDescent="0.2">
      <c r="B61" s="133"/>
      <c r="C61" s="133"/>
      <c r="D61" s="133"/>
      <c r="E61" s="133"/>
      <c r="F61" s="133"/>
      <c r="G61" s="133"/>
      <c r="N61" s="135"/>
    </row>
    <row r="62" spans="2:14" x14ac:dyDescent="0.2">
      <c r="B62" s="133"/>
      <c r="C62" s="133"/>
      <c r="D62" s="133"/>
      <c r="E62" s="133"/>
      <c r="F62" s="133"/>
      <c r="G62" s="133"/>
      <c r="N62" s="135"/>
    </row>
    <row r="63" spans="2:14" x14ac:dyDescent="0.2">
      <c r="B63" s="133"/>
      <c r="C63" s="133"/>
      <c r="D63" s="133"/>
      <c r="E63" s="133"/>
      <c r="F63" s="133"/>
      <c r="G63" s="133"/>
      <c r="N63" s="135"/>
    </row>
    <row r="64" spans="2:14" ht="16" thickBot="1" x14ac:dyDescent="0.25">
      <c r="B64" s="55" t="s">
        <v>31</v>
      </c>
      <c r="C64" s="131" t="s">
        <v>9</v>
      </c>
      <c r="D64" s="131"/>
      <c r="E64" s="133"/>
      <c r="F64" s="133"/>
      <c r="G64" s="133"/>
      <c r="N64" s="135"/>
    </row>
    <row r="65" spans="2:14" x14ac:dyDescent="0.2">
      <c r="B65" s="83" t="s">
        <v>202</v>
      </c>
      <c r="C65" s="56" t="s">
        <v>45</v>
      </c>
      <c r="D65" s="56" t="s">
        <v>32</v>
      </c>
      <c r="E65" s="133"/>
      <c r="F65" s="133"/>
      <c r="G65" s="133"/>
      <c r="N65" s="135"/>
    </row>
    <row r="66" spans="2:14" x14ac:dyDescent="0.2">
      <c r="B66" s="84" t="str">
        <f>C8</f>
        <v>Architecture</v>
      </c>
      <c r="C66" s="105">
        <f>'processed | data'!B41</f>
        <v>24</v>
      </c>
      <c r="D66" s="105">
        <f>'processed | data'!B53</f>
        <v>0</v>
      </c>
      <c r="E66" s="133"/>
      <c r="F66" s="133"/>
      <c r="G66" s="133"/>
      <c r="N66" s="135"/>
    </row>
    <row r="67" spans="2:14" x14ac:dyDescent="0.2">
      <c r="B67" s="84" t="str">
        <f t="shared" ref="B67:B75" si="2">C9</f>
        <v>Cloud</v>
      </c>
      <c r="C67" s="105">
        <f>'processed | data'!B42</f>
        <v>28.5</v>
      </c>
      <c r="D67" s="105">
        <f>'processed | data'!B54</f>
        <v>9</v>
      </c>
      <c r="E67" s="133"/>
      <c r="F67" s="133"/>
      <c r="G67" s="133"/>
      <c r="N67" s="135"/>
    </row>
    <row r="68" spans="2:14" x14ac:dyDescent="0.2">
      <c r="B68" s="84" t="str">
        <f t="shared" si="2"/>
        <v>Dataverse</v>
      </c>
      <c r="C68" s="105">
        <f>'processed | data'!B43</f>
        <v>24</v>
      </c>
      <c r="D68" s="105">
        <f>'processed | data'!B55</f>
        <v>14.5</v>
      </c>
      <c r="E68" s="133"/>
      <c r="F68" s="133"/>
      <c r="G68" s="133"/>
      <c r="N68" s="135"/>
    </row>
    <row r="69" spans="2:14" x14ac:dyDescent="0.2">
      <c r="B69" s="84">
        <f t="shared" si="2"/>
        <v>0</v>
      </c>
      <c r="C69" s="105">
        <f>'processed | data'!B44</f>
        <v>0</v>
      </c>
      <c r="D69" s="105">
        <f>'processed | data'!B56</f>
        <v>0</v>
      </c>
      <c r="E69" s="133"/>
      <c r="F69" s="133"/>
      <c r="G69" s="133"/>
      <c r="N69" s="135"/>
    </row>
    <row r="70" spans="2:14" x14ac:dyDescent="0.2">
      <c r="B70" s="84">
        <f t="shared" si="2"/>
        <v>5</v>
      </c>
      <c r="C70" s="105">
        <f>'processed | data'!B45</f>
        <v>0</v>
      </c>
      <c r="D70" s="105">
        <f>'processed | data'!B57</f>
        <v>0</v>
      </c>
      <c r="E70" s="133"/>
      <c r="F70" s="133"/>
      <c r="G70" s="133"/>
      <c r="N70" s="135"/>
    </row>
    <row r="71" spans="2:14" x14ac:dyDescent="0.2">
      <c r="B71" s="84">
        <f t="shared" si="2"/>
        <v>6</v>
      </c>
      <c r="C71" s="105">
        <f>'processed | data'!B46</f>
        <v>0</v>
      </c>
      <c r="D71" s="105">
        <f>'processed | data'!B58</f>
        <v>0</v>
      </c>
      <c r="E71" s="133"/>
      <c r="F71" s="133"/>
      <c r="G71" s="133"/>
      <c r="N71" s="135"/>
    </row>
    <row r="72" spans="2:14" x14ac:dyDescent="0.2">
      <c r="B72" s="84">
        <f t="shared" si="2"/>
        <v>7</v>
      </c>
      <c r="C72" s="105">
        <f>'processed | data'!B47</f>
        <v>0</v>
      </c>
      <c r="D72" s="105">
        <f>'processed | data'!B59</f>
        <v>0</v>
      </c>
      <c r="E72" s="133"/>
      <c r="F72" s="133"/>
      <c r="G72" s="133"/>
      <c r="N72" s="135"/>
    </row>
    <row r="73" spans="2:14" x14ac:dyDescent="0.2">
      <c r="B73" s="84">
        <f t="shared" si="2"/>
        <v>8</v>
      </c>
      <c r="C73" s="105">
        <f>'processed | data'!B48</f>
        <v>0</v>
      </c>
      <c r="D73" s="105">
        <f>'processed | data'!B60</f>
        <v>0</v>
      </c>
      <c r="E73" s="133"/>
      <c r="F73" s="133"/>
      <c r="G73" s="133"/>
      <c r="N73" s="135"/>
    </row>
    <row r="74" spans="2:14" x14ac:dyDescent="0.2">
      <c r="B74" s="84">
        <f t="shared" si="2"/>
        <v>9</v>
      </c>
      <c r="C74" s="105">
        <f>'processed | data'!B49</f>
        <v>0</v>
      </c>
      <c r="D74" s="105">
        <f>'processed | data'!B61</f>
        <v>0</v>
      </c>
      <c r="E74" s="133"/>
      <c r="F74" s="133"/>
      <c r="G74" s="133"/>
      <c r="N74" s="135"/>
    </row>
    <row r="75" spans="2:14" ht="16" thickBot="1" x14ac:dyDescent="0.25">
      <c r="B75" s="85">
        <f t="shared" si="2"/>
        <v>10</v>
      </c>
      <c r="C75" s="105">
        <f>'processed | data'!B50</f>
        <v>0</v>
      </c>
      <c r="D75" s="105">
        <f>'processed | data'!B62</f>
        <v>0</v>
      </c>
      <c r="E75" s="133"/>
      <c r="F75" s="133"/>
      <c r="G75" s="133"/>
      <c r="N75" s="135"/>
    </row>
    <row r="76" spans="2:14" x14ac:dyDescent="0.2">
      <c r="B76" s="133"/>
      <c r="C76" s="133"/>
      <c r="D76" s="133"/>
      <c r="E76" s="133"/>
      <c r="F76" s="133"/>
      <c r="G76" s="133"/>
      <c r="N76" s="135"/>
    </row>
    <row r="77" spans="2:14" x14ac:dyDescent="0.2">
      <c r="B77" s="133"/>
      <c r="C77" s="133"/>
      <c r="D77" s="133"/>
      <c r="E77" s="133"/>
      <c r="F77" s="133"/>
      <c r="G77" s="133"/>
      <c r="N77" s="135"/>
    </row>
    <row r="78" spans="2:14" x14ac:dyDescent="0.2">
      <c r="B78" s="133"/>
      <c r="C78" s="133"/>
      <c r="D78" s="133"/>
      <c r="E78" s="133"/>
      <c r="F78" s="133"/>
      <c r="G78" s="133"/>
      <c r="N78" s="135"/>
    </row>
    <row r="79" spans="2:14" ht="16" thickBot="1" x14ac:dyDescent="0.25">
      <c r="B79" s="55" t="s">
        <v>31</v>
      </c>
      <c r="C79" s="131" t="s">
        <v>88</v>
      </c>
      <c r="D79" s="131"/>
      <c r="E79" s="133"/>
      <c r="F79" s="133"/>
      <c r="G79" s="133"/>
      <c r="N79" s="135"/>
    </row>
    <row r="80" spans="2:14" x14ac:dyDescent="0.2">
      <c r="B80" s="83" t="s">
        <v>202</v>
      </c>
      <c r="C80" s="56" t="s">
        <v>45</v>
      </c>
      <c r="D80" s="56" t="s">
        <v>32</v>
      </c>
      <c r="E80" s="133"/>
      <c r="F80" s="133"/>
      <c r="G80" s="133"/>
      <c r="N80" s="135"/>
    </row>
    <row r="81" spans="2:14" x14ac:dyDescent="0.2">
      <c r="B81" s="84" t="str">
        <f>C8</f>
        <v>Architecture</v>
      </c>
      <c r="C81" s="105">
        <f>'processed | data'!B92</f>
        <v>16</v>
      </c>
      <c r="D81" s="105">
        <f>'processed | data'!B104</f>
        <v>0</v>
      </c>
      <c r="E81" s="133"/>
      <c r="F81" s="133"/>
      <c r="G81" s="133"/>
      <c r="N81" s="135"/>
    </row>
    <row r="82" spans="2:14" x14ac:dyDescent="0.2">
      <c r="B82" s="84" t="str">
        <f t="shared" ref="B82:B90" si="3">C9</f>
        <v>Cloud</v>
      </c>
      <c r="C82" s="105">
        <f>'processed | data'!B93</f>
        <v>24</v>
      </c>
      <c r="D82" s="105">
        <f>'processed | data'!B105</f>
        <v>9</v>
      </c>
      <c r="E82" s="133"/>
      <c r="F82" s="133"/>
      <c r="G82" s="133"/>
      <c r="N82" s="135"/>
    </row>
    <row r="83" spans="2:14" x14ac:dyDescent="0.2">
      <c r="B83" s="84" t="str">
        <f t="shared" si="3"/>
        <v>Dataverse</v>
      </c>
      <c r="C83" s="105">
        <f>'processed | data'!B94</f>
        <v>23</v>
      </c>
      <c r="D83" s="105">
        <f>'processed | data'!B106</f>
        <v>13</v>
      </c>
      <c r="E83" s="133"/>
      <c r="F83" s="133"/>
      <c r="G83" s="133"/>
      <c r="N83" s="135"/>
    </row>
    <row r="84" spans="2:14" x14ac:dyDescent="0.2">
      <c r="B84" s="84">
        <f t="shared" si="3"/>
        <v>0</v>
      </c>
      <c r="C84" s="105">
        <f>'processed | data'!B95</f>
        <v>0</v>
      </c>
      <c r="D84" s="105">
        <f>'processed | data'!B107</f>
        <v>0</v>
      </c>
      <c r="E84" s="133"/>
      <c r="F84" s="133"/>
      <c r="G84" s="133"/>
      <c r="N84" s="135"/>
    </row>
    <row r="85" spans="2:14" x14ac:dyDescent="0.2">
      <c r="B85" s="84">
        <f t="shared" si="3"/>
        <v>5</v>
      </c>
      <c r="C85" s="105">
        <f>'processed | data'!B96</f>
        <v>0</v>
      </c>
      <c r="D85" s="105">
        <f>'processed | data'!B108</f>
        <v>0</v>
      </c>
      <c r="E85" s="133"/>
      <c r="F85" s="133"/>
      <c r="G85" s="133"/>
      <c r="N85" s="135"/>
    </row>
    <row r="86" spans="2:14" x14ac:dyDescent="0.2">
      <c r="B86" s="84">
        <f t="shared" si="3"/>
        <v>6</v>
      </c>
      <c r="C86" s="105">
        <f>'processed | data'!B97</f>
        <v>0</v>
      </c>
      <c r="D86" s="105">
        <f>'processed | data'!B109</f>
        <v>0</v>
      </c>
      <c r="E86" s="133"/>
      <c r="F86" s="133"/>
      <c r="G86" s="133"/>
      <c r="N86" s="135"/>
    </row>
    <row r="87" spans="2:14" x14ac:dyDescent="0.2">
      <c r="B87" s="84">
        <f t="shared" si="3"/>
        <v>7</v>
      </c>
      <c r="C87" s="105">
        <f>'processed | data'!B98</f>
        <v>0</v>
      </c>
      <c r="D87" s="105">
        <f>'processed | data'!B110</f>
        <v>0</v>
      </c>
      <c r="E87" s="133"/>
      <c r="F87" s="133"/>
      <c r="G87" s="133"/>
      <c r="N87" s="135"/>
    </row>
    <row r="88" spans="2:14" x14ac:dyDescent="0.2">
      <c r="B88" s="84">
        <f t="shared" si="3"/>
        <v>8</v>
      </c>
      <c r="C88" s="105">
        <f>'processed | data'!B99</f>
        <v>0</v>
      </c>
      <c r="D88" s="105">
        <f>'processed | data'!B111</f>
        <v>0</v>
      </c>
      <c r="E88" s="133"/>
      <c r="F88" s="133"/>
      <c r="G88" s="133"/>
      <c r="N88" s="135"/>
    </row>
    <row r="89" spans="2:14" x14ac:dyDescent="0.2">
      <c r="B89" s="84">
        <f t="shared" si="3"/>
        <v>9</v>
      </c>
      <c r="C89" s="105">
        <f>'processed | data'!B100</f>
        <v>0</v>
      </c>
      <c r="D89" s="105">
        <f>'processed | data'!B112</f>
        <v>0</v>
      </c>
      <c r="E89" s="133"/>
      <c r="F89" s="133"/>
      <c r="G89" s="133"/>
      <c r="N89" s="135"/>
    </row>
    <row r="90" spans="2:14" ht="16" thickBot="1" x14ac:dyDescent="0.25">
      <c r="B90" s="85">
        <f t="shared" si="3"/>
        <v>10</v>
      </c>
      <c r="C90" s="105">
        <f>'processed | data'!B101</f>
        <v>0</v>
      </c>
      <c r="D90" s="105">
        <f>'processed | data'!B113</f>
        <v>0</v>
      </c>
      <c r="E90" s="133"/>
      <c r="F90" s="133"/>
      <c r="G90" s="133"/>
      <c r="N90" s="135"/>
    </row>
    <row r="91" spans="2:14" x14ac:dyDescent="0.2">
      <c r="B91" s="133"/>
      <c r="C91" s="133"/>
      <c r="D91" s="133"/>
      <c r="E91" s="133"/>
      <c r="F91" s="133"/>
      <c r="G91" s="133"/>
      <c r="N91" s="135"/>
    </row>
    <row r="92" spans="2:14" x14ac:dyDescent="0.2">
      <c r="B92" s="133"/>
      <c r="C92" s="133"/>
      <c r="D92" s="133"/>
      <c r="E92" s="133"/>
      <c r="F92" s="133"/>
      <c r="G92" s="133"/>
      <c r="N92" s="135"/>
    </row>
    <row r="93" spans="2:14" x14ac:dyDescent="0.2">
      <c r="B93" s="133"/>
      <c r="C93" s="133"/>
      <c r="D93" s="133"/>
      <c r="E93" s="133"/>
      <c r="F93" s="133"/>
      <c r="G93" s="133"/>
      <c r="N93" s="135"/>
    </row>
    <row r="94" spans="2:14" x14ac:dyDescent="0.2">
      <c r="B94" s="19" t="s">
        <v>20</v>
      </c>
      <c r="C94" s="8" t="s">
        <v>28</v>
      </c>
      <c r="D94" s="21" t="s">
        <v>0</v>
      </c>
      <c r="E94" s="19">
        <f>C107</f>
        <v>26.5</v>
      </c>
      <c r="F94" s="19"/>
      <c r="G94" s="133"/>
      <c r="N94" s="135"/>
    </row>
    <row r="95" spans="2:14" x14ac:dyDescent="0.2">
      <c r="B95" s="7"/>
      <c r="C95" s="7"/>
      <c r="D95" s="7"/>
      <c r="E95" s="7"/>
      <c r="F95" s="7"/>
      <c r="G95" s="133"/>
      <c r="N95" s="135"/>
    </row>
    <row r="96" spans="2:14" x14ac:dyDescent="0.2">
      <c r="B96" s="7"/>
      <c r="C96" s="22" t="s">
        <v>86</v>
      </c>
      <c r="D96" s="22" t="s">
        <v>87</v>
      </c>
      <c r="E96" s="22" t="s">
        <v>11</v>
      </c>
      <c r="F96" s="22" t="s">
        <v>81</v>
      </c>
      <c r="G96" s="133"/>
      <c r="N96" s="135"/>
    </row>
    <row r="97" spans="2:14" x14ac:dyDescent="0.2">
      <c r="B97" s="20" t="s">
        <v>26</v>
      </c>
      <c r="C97" s="7">
        <f>SUM(C36:C37)</f>
        <v>20.5</v>
      </c>
      <c r="D97" s="7">
        <f>SUM(D36:D37)</f>
        <v>11.5</v>
      </c>
      <c r="E97" s="7">
        <f>ROUND(D97/E$94*100, 0)</f>
        <v>43</v>
      </c>
      <c r="F97" s="7"/>
      <c r="G97" s="133"/>
      <c r="N97" s="136"/>
    </row>
    <row r="98" spans="2:14" x14ac:dyDescent="0.2">
      <c r="B98" s="7" t="s">
        <v>4</v>
      </c>
      <c r="C98" s="7">
        <f>C38</f>
        <v>16.5</v>
      </c>
      <c r="D98" s="7">
        <f>D38</f>
        <v>0</v>
      </c>
      <c r="E98" s="7">
        <f>ROUND(D98/E$94*100, 0)</f>
        <v>0</v>
      </c>
      <c r="F98" s="7"/>
      <c r="G98" s="133"/>
      <c r="N98" s="135"/>
    </row>
    <row r="99" spans="2:14" x14ac:dyDescent="0.2">
      <c r="B99" s="7" t="s">
        <v>27</v>
      </c>
      <c r="C99" s="7">
        <f>C39</f>
        <v>41.5</v>
      </c>
      <c r="D99" s="7">
        <f>D39</f>
        <v>5.5</v>
      </c>
      <c r="E99" s="7">
        <f>ROUND(D99/E$94*100, 0)</f>
        <v>21</v>
      </c>
      <c r="F99" s="7"/>
      <c r="G99" s="133"/>
      <c r="N99" s="135"/>
    </row>
    <row r="100" spans="2:14" x14ac:dyDescent="0.2">
      <c r="B100" s="23" t="s">
        <v>29</v>
      </c>
      <c r="C100" s="24">
        <f>SUM(C97:C99)</f>
        <v>78.5</v>
      </c>
      <c r="D100" s="24">
        <f>SUM(D97:D99)</f>
        <v>17</v>
      </c>
      <c r="E100" s="24">
        <f>SUM(E97:E99)</f>
        <v>64</v>
      </c>
      <c r="F100" s="24"/>
      <c r="G100" s="133"/>
      <c r="N100" s="135"/>
    </row>
    <row r="101" spans="2:14" x14ac:dyDescent="0.2">
      <c r="B101" s="137"/>
      <c r="C101" s="133"/>
      <c r="D101" s="133"/>
      <c r="E101" s="133"/>
      <c r="F101" s="133"/>
      <c r="G101" s="133"/>
      <c r="N101" s="135"/>
    </row>
    <row r="102" spans="2:14" x14ac:dyDescent="0.2">
      <c r="B102" s="137"/>
      <c r="C102" s="133"/>
      <c r="D102" s="133"/>
      <c r="E102" s="133"/>
      <c r="F102" s="133"/>
      <c r="G102" s="133"/>
      <c r="N102" s="135"/>
    </row>
    <row r="103" spans="2:14" x14ac:dyDescent="0.2">
      <c r="B103" s="13" t="s">
        <v>19</v>
      </c>
      <c r="C103" s="5"/>
      <c r="D103" s="5"/>
      <c r="E103" s="5"/>
      <c r="F103" s="5"/>
      <c r="G103" s="5"/>
      <c r="N103" s="135"/>
    </row>
    <row r="104" spans="2:14" x14ac:dyDescent="0.2">
      <c r="B104" s="6"/>
      <c r="C104" s="127" t="s">
        <v>10</v>
      </c>
      <c r="D104" s="128"/>
      <c r="E104" s="127" t="s">
        <v>12</v>
      </c>
      <c r="F104" s="129"/>
      <c r="G104" s="6"/>
      <c r="N104" s="135"/>
    </row>
    <row r="105" spans="2:14" x14ac:dyDescent="0.2">
      <c r="B105" s="6"/>
      <c r="C105" s="16" t="s">
        <v>22</v>
      </c>
      <c r="D105" s="65" t="s">
        <v>11</v>
      </c>
      <c r="E105" s="64" t="s">
        <v>22</v>
      </c>
      <c r="F105" s="66" t="s">
        <v>11</v>
      </c>
      <c r="G105" s="6"/>
      <c r="N105" s="135"/>
    </row>
    <row r="106" spans="2:14" x14ac:dyDescent="0.2">
      <c r="B106" s="6" t="s">
        <v>13</v>
      </c>
      <c r="C106" s="14">
        <f>'processed | data'!B118</f>
        <v>53</v>
      </c>
      <c r="D106" s="65">
        <f>D108-D107</f>
        <v>67</v>
      </c>
      <c r="E106" s="14">
        <f>'processed | data'!B127</f>
        <v>41</v>
      </c>
      <c r="F106" s="66">
        <f>F108-F107</f>
        <v>64</v>
      </c>
      <c r="G106" s="6"/>
      <c r="N106" s="135"/>
    </row>
    <row r="107" spans="2:14" x14ac:dyDescent="0.2">
      <c r="B107" s="6" t="s">
        <v>14</v>
      </c>
      <c r="C107" s="14">
        <f>'processed | data'!B119</f>
        <v>26.5</v>
      </c>
      <c r="D107" s="65">
        <f>ROUND(C107/C108*100, 0)</f>
        <v>33</v>
      </c>
      <c r="E107" s="14">
        <f>'processed | data'!B128</f>
        <v>23</v>
      </c>
      <c r="F107" s="66">
        <f>ROUND(E107/E108*100, 0)</f>
        <v>36</v>
      </c>
      <c r="G107" s="6"/>
      <c r="N107" s="135"/>
    </row>
    <row r="108" spans="2:14" x14ac:dyDescent="0.2">
      <c r="B108" s="12" t="s">
        <v>15</v>
      </c>
      <c r="C108" s="15">
        <f>'processed | data'!B120</f>
        <v>79.5</v>
      </c>
      <c r="D108" s="74">
        <f>ROUND(C108/C108*100, 0)</f>
        <v>100</v>
      </c>
      <c r="E108" s="15">
        <f>'processed | data'!B129</f>
        <v>64</v>
      </c>
      <c r="F108" s="75">
        <f>ROUND(E108/E108*100, 0)</f>
        <v>100</v>
      </c>
      <c r="G108" s="6"/>
      <c r="N108" s="135"/>
    </row>
    <row r="109" spans="2:14" x14ac:dyDescent="0.2">
      <c r="B109" s="6" t="s">
        <v>16</v>
      </c>
      <c r="C109" s="14">
        <f>'processed | data'!B121</f>
        <v>72.5</v>
      </c>
      <c r="D109" s="65">
        <f>ROUND((C109/C108)*100, 0)</f>
        <v>91</v>
      </c>
      <c r="E109" s="14">
        <f>'processed | data'!B130</f>
        <v>63</v>
      </c>
      <c r="F109" s="66">
        <f>ROUND((E109/E108)*100, 0)</f>
        <v>98</v>
      </c>
      <c r="G109" s="6"/>
      <c r="N109" s="135"/>
    </row>
    <row r="110" spans="2:14" x14ac:dyDescent="0.2">
      <c r="B110" s="6" t="s">
        <v>17</v>
      </c>
      <c r="C110" s="14">
        <f>(C108+C111)-C109</f>
        <v>22</v>
      </c>
      <c r="D110" s="65">
        <f>ROUND((C110/C109)*100, 0)</f>
        <v>30</v>
      </c>
      <c r="E110" s="14">
        <f t="shared" ref="E110" si="4">(E108+E111)-E109</f>
        <v>10</v>
      </c>
      <c r="F110" s="66">
        <f>ROUND((E110/E109)*100, 0)</f>
        <v>16</v>
      </c>
      <c r="G110" s="6"/>
      <c r="N110" s="135"/>
    </row>
    <row r="111" spans="2:14" x14ac:dyDescent="0.2">
      <c r="B111" s="6" t="s">
        <v>18</v>
      </c>
      <c r="C111" s="14">
        <f>'processed | data'!B122</f>
        <v>15</v>
      </c>
      <c r="D111" s="65">
        <f>ROUND(C111/C108*100, 0)</f>
        <v>19</v>
      </c>
      <c r="E111" s="14">
        <f>'processed | data'!B131</f>
        <v>9</v>
      </c>
      <c r="F111" s="66">
        <f>ROUND(E111/E108*100, 0)</f>
        <v>14</v>
      </c>
      <c r="G111" s="6"/>
      <c r="N111" s="135"/>
    </row>
    <row r="112" spans="2:14" x14ac:dyDescent="0.2">
      <c r="B112" s="133"/>
      <c r="C112" s="133"/>
      <c r="D112" s="133"/>
      <c r="E112" s="133"/>
      <c r="F112" s="133"/>
      <c r="G112" s="133"/>
      <c r="N112" s="135"/>
    </row>
    <row r="113" spans="2:14" x14ac:dyDescent="0.2">
      <c r="B113" s="133"/>
      <c r="C113" s="133"/>
      <c r="D113" s="133"/>
      <c r="E113" s="133"/>
      <c r="F113" s="133"/>
      <c r="G113" s="133"/>
      <c r="N113" s="135"/>
    </row>
    <row r="114" spans="2:14" x14ac:dyDescent="0.2">
      <c r="B114" s="133"/>
      <c r="C114" s="133"/>
      <c r="D114" s="133"/>
      <c r="E114" s="133"/>
      <c r="F114" s="133"/>
      <c r="G114" s="133"/>
      <c r="N114" s="135"/>
    </row>
    <row r="115" spans="2:14" x14ac:dyDescent="0.2">
      <c r="B115" s="9" t="s">
        <v>21</v>
      </c>
      <c r="C115" s="9"/>
      <c r="D115" s="9"/>
      <c r="E115" s="133"/>
      <c r="F115" s="133"/>
      <c r="G115" s="133"/>
      <c r="N115" s="135"/>
    </row>
    <row r="116" spans="2:14" x14ac:dyDescent="0.2">
      <c r="B116" s="4" t="s">
        <v>195</v>
      </c>
      <c r="C116" s="4" t="s">
        <v>9</v>
      </c>
      <c r="D116" s="4" t="s">
        <v>88</v>
      </c>
      <c r="E116" s="133"/>
      <c r="F116" s="133"/>
      <c r="G116" s="133"/>
      <c r="N116" s="135"/>
    </row>
    <row r="117" spans="2:14" x14ac:dyDescent="0.2">
      <c r="B117" s="4" t="s">
        <v>196</v>
      </c>
      <c r="C117" s="4">
        <f>'processed | data'!B136</f>
        <v>23</v>
      </c>
      <c r="D117" s="4">
        <f>'processed | data'!B143</f>
        <v>19</v>
      </c>
      <c r="E117" s="133"/>
      <c r="F117" s="133"/>
      <c r="G117" s="133"/>
      <c r="N117" s="135"/>
    </row>
    <row r="118" spans="2:14" x14ac:dyDescent="0.2">
      <c r="B118" s="4" t="s">
        <v>5</v>
      </c>
      <c r="C118" s="4">
        <f>'processed | data'!B137</f>
        <v>30</v>
      </c>
      <c r="D118" s="4">
        <f>'processed | data'!B144</f>
        <v>22</v>
      </c>
      <c r="E118" s="133"/>
      <c r="F118" s="133"/>
      <c r="G118" s="133"/>
      <c r="N118" s="135"/>
    </row>
    <row r="119" spans="2:14" x14ac:dyDescent="0.2">
      <c r="B119" s="4" t="s">
        <v>0</v>
      </c>
      <c r="C119" s="4">
        <f>'processed | data'!B138</f>
        <v>26.5</v>
      </c>
      <c r="D119" s="4">
        <f>'processed | data'!B145</f>
        <v>23</v>
      </c>
      <c r="E119" s="133"/>
      <c r="F119" s="133"/>
      <c r="G119" s="133"/>
      <c r="N119" s="135"/>
    </row>
    <row r="120" spans="2:14" x14ac:dyDescent="0.2">
      <c r="B120" s="4"/>
      <c r="C120" s="4"/>
      <c r="D120" s="4"/>
      <c r="E120" s="133"/>
      <c r="F120" s="133"/>
      <c r="G120" s="133"/>
      <c r="N120" s="135"/>
    </row>
    <row r="121" spans="2:14" x14ac:dyDescent="0.2">
      <c r="B121" s="4"/>
      <c r="C121" s="4"/>
      <c r="D121" s="4"/>
      <c r="E121" s="133"/>
      <c r="F121" s="133"/>
      <c r="G121" s="133"/>
      <c r="N121" s="135"/>
    </row>
    <row r="122" spans="2:14" x14ac:dyDescent="0.2">
      <c r="B122" s="133"/>
      <c r="C122" s="133"/>
      <c r="D122" s="133"/>
      <c r="E122" s="133"/>
      <c r="F122" s="133"/>
      <c r="G122" s="133"/>
      <c r="N122" s="135"/>
    </row>
    <row r="123" spans="2:14" x14ac:dyDescent="0.2">
      <c r="B123" s="56" t="s">
        <v>216</v>
      </c>
      <c r="C123" s="56"/>
      <c r="D123" s="56"/>
      <c r="E123" s="133"/>
      <c r="F123" s="133"/>
      <c r="G123" s="133"/>
      <c r="N123" s="135"/>
    </row>
    <row r="124" spans="2:14" x14ac:dyDescent="0.2">
      <c r="B124" s="105" t="s">
        <v>215</v>
      </c>
      <c r="C124" s="90">
        <f>'processed | data'!B151</f>
        <v>30</v>
      </c>
      <c r="D124" s="105"/>
      <c r="E124" s="133"/>
      <c r="F124" s="133"/>
      <c r="G124" s="133"/>
      <c r="N124" s="135"/>
    </row>
    <row r="125" spans="2:14" x14ac:dyDescent="0.2">
      <c r="B125" s="105"/>
      <c r="C125" s="90"/>
      <c r="D125" s="105"/>
      <c r="E125" s="133"/>
      <c r="F125" s="133"/>
      <c r="G125" s="133"/>
      <c r="N125" s="135"/>
    </row>
    <row r="126" spans="2:14" x14ac:dyDescent="0.2">
      <c r="B126" s="106" t="s">
        <v>8</v>
      </c>
      <c r="C126" s="107" t="s">
        <v>38</v>
      </c>
      <c r="D126" s="105"/>
      <c r="E126" s="133"/>
      <c r="F126" s="133"/>
      <c r="G126" s="133"/>
      <c r="N126" s="135"/>
    </row>
    <row r="127" spans="2:14" x14ac:dyDescent="0.2">
      <c r="B127" s="105" t="s">
        <v>2</v>
      </c>
      <c r="C127" s="105">
        <f>INDEX( D$36:D$45, MATCH(B127, B$36:B$45,))</f>
        <v>0</v>
      </c>
      <c r="D127" s="105"/>
      <c r="E127" s="133"/>
      <c r="F127" s="133"/>
      <c r="G127" s="133"/>
      <c r="N127" s="135"/>
    </row>
    <row r="128" spans="2:14" x14ac:dyDescent="0.2">
      <c r="B128" s="105" t="s">
        <v>58</v>
      </c>
      <c r="C128" s="105">
        <f>INDEX( D$36:D$45, MATCH(B128, B$36:B$45,))</f>
        <v>11.5</v>
      </c>
      <c r="D128" s="105"/>
      <c r="E128" s="133"/>
      <c r="F128" s="133"/>
      <c r="G128" s="133"/>
      <c r="N128" s="135"/>
    </row>
    <row r="129" spans="2:14" x14ac:dyDescent="0.2">
      <c r="B129" s="105"/>
      <c r="C129" s="105"/>
      <c r="D129" s="105"/>
      <c r="E129" s="133"/>
      <c r="F129" s="133"/>
      <c r="G129" s="133"/>
      <c r="N129" s="135"/>
    </row>
    <row r="130" spans="2:14" x14ac:dyDescent="0.2">
      <c r="B130" s="106" t="s">
        <v>85</v>
      </c>
      <c r="C130" s="106">
        <f>SUM(C127:C128)</f>
        <v>11.5</v>
      </c>
      <c r="D130" s="105"/>
      <c r="E130" s="133"/>
      <c r="F130" s="133"/>
      <c r="G130" s="133"/>
      <c r="N130" s="135"/>
    </row>
    <row r="131" spans="2:14" x14ac:dyDescent="0.2">
      <c r="B131" s="106" t="s">
        <v>217</v>
      </c>
      <c r="C131" s="106">
        <f>ROUND((C130/C107)*100,0)</f>
        <v>43</v>
      </c>
      <c r="D131" s="105"/>
      <c r="E131" s="133"/>
      <c r="F131" s="133"/>
      <c r="G131" s="133"/>
      <c r="N131" s="135"/>
    </row>
    <row r="132" spans="2:14" x14ac:dyDescent="0.2">
      <c r="B132" s="133"/>
      <c r="C132" s="133"/>
      <c r="D132" s="133"/>
      <c r="E132" s="133"/>
      <c r="F132" s="133"/>
      <c r="G132" s="133"/>
      <c r="N132" s="135"/>
    </row>
    <row r="133" spans="2:14" x14ac:dyDescent="0.2">
      <c r="B133" s="17" t="s">
        <v>23</v>
      </c>
      <c r="C133" s="10"/>
      <c r="D133" s="133"/>
      <c r="E133" s="133"/>
      <c r="F133" s="133"/>
      <c r="G133" s="133"/>
      <c r="N133" s="135"/>
    </row>
    <row r="134" spans="2:14" x14ac:dyDescent="0.2">
      <c r="B134" s="18" t="s">
        <v>24</v>
      </c>
      <c r="C134" s="11">
        <f>'processed | data'!B155</f>
        <v>1.2</v>
      </c>
      <c r="D134" s="133"/>
      <c r="E134" s="133"/>
      <c r="F134" s="133"/>
      <c r="G134" s="133"/>
      <c r="N134" s="135"/>
    </row>
    <row r="135" spans="2:14" x14ac:dyDescent="0.2">
      <c r="B135" s="18" t="s">
        <v>25</v>
      </c>
      <c r="C135" s="11">
        <f>'processed | data'!B156</f>
        <v>13</v>
      </c>
      <c r="D135" s="133"/>
      <c r="E135" s="133"/>
      <c r="F135" s="133"/>
      <c r="G135" s="133"/>
      <c r="N135" s="135"/>
    </row>
    <row r="136" spans="2:14" x14ac:dyDescent="0.2">
      <c r="B136" s="133"/>
      <c r="C136" s="133"/>
      <c r="D136" s="133"/>
      <c r="E136" s="133"/>
      <c r="F136" s="133"/>
      <c r="G136" s="133"/>
      <c r="N136" s="135"/>
    </row>
    <row r="137" spans="2:14" x14ac:dyDescent="0.2">
      <c r="B137" s="133"/>
      <c r="C137" s="133"/>
      <c r="D137" s="133"/>
      <c r="E137" s="133"/>
      <c r="F137" s="133"/>
      <c r="G137" s="133"/>
      <c r="N137" s="135"/>
    </row>
    <row r="138" spans="2:14" x14ac:dyDescent="0.2">
      <c r="B138" s="133"/>
      <c r="C138" s="133"/>
      <c r="D138" s="133"/>
      <c r="E138" s="133"/>
      <c r="F138" s="133"/>
      <c r="G138" s="133"/>
      <c r="N138" s="135"/>
    </row>
    <row r="139" spans="2:14" x14ac:dyDescent="0.2">
      <c r="B139" s="13" t="s">
        <v>70</v>
      </c>
      <c r="C139" s="13" t="s">
        <v>200</v>
      </c>
      <c r="D139" s="13"/>
      <c r="E139" s="133"/>
      <c r="F139" s="133"/>
      <c r="G139" s="133"/>
    </row>
    <row r="140" spans="2:14" x14ac:dyDescent="0.2">
      <c r="B140" s="6" t="s">
        <v>76</v>
      </c>
      <c r="C140" s="6">
        <f>'processed | data'!B161</f>
        <v>50</v>
      </c>
      <c r="D140" s="6"/>
      <c r="E140" s="133"/>
      <c r="F140" s="133"/>
      <c r="G140" s="133"/>
    </row>
    <row r="141" spans="2:14" x14ac:dyDescent="0.2">
      <c r="B141" s="6" t="s">
        <v>73</v>
      </c>
      <c r="C141" s="6">
        <f>'processed | data'!B162</f>
        <v>79.5</v>
      </c>
      <c r="D141" s="6"/>
      <c r="E141" s="133"/>
      <c r="F141" s="133"/>
      <c r="G141" s="133"/>
    </row>
    <row r="142" spans="2:14" x14ac:dyDescent="0.2">
      <c r="B142" s="6" t="s">
        <v>74</v>
      </c>
      <c r="C142" s="6">
        <f>'processed | data'!B163</f>
        <v>26.5</v>
      </c>
      <c r="D142" s="6"/>
      <c r="E142" s="133"/>
      <c r="F142" s="133"/>
      <c r="G142" s="133"/>
    </row>
    <row r="143" spans="2:14" x14ac:dyDescent="0.2">
      <c r="B143" s="6" t="s">
        <v>75</v>
      </c>
      <c r="C143" s="6">
        <f>'processed | data'!B164</f>
        <v>50</v>
      </c>
      <c r="D143" s="6"/>
      <c r="E143" s="133"/>
      <c r="F143" s="133"/>
      <c r="G143" s="133"/>
    </row>
    <row r="144" spans="2:14" x14ac:dyDescent="0.2">
      <c r="B144" s="6"/>
      <c r="C144" s="6"/>
      <c r="D144" s="6"/>
      <c r="E144" s="133"/>
      <c r="F144" s="133"/>
      <c r="G144" s="133"/>
    </row>
    <row r="145" spans="2:7" x14ac:dyDescent="0.2">
      <c r="B145" s="6" t="s">
        <v>71</v>
      </c>
      <c r="C145" s="6" t="b">
        <f>'processed | data'!B166</f>
        <v>0</v>
      </c>
      <c r="D145" s="6"/>
      <c r="E145" s="133"/>
      <c r="F145" s="133"/>
      <c r="G145" s="133"/>
    </row>
    <row r="146" spans="2:7" x14ac:dyDescent="0.2">
      <c r="B146" s="6" t="s">
        <v>72</v>
      </c>
      <c r="C146" s="6" t="b">
        <f>'processed | data'!B167</f>
        <v>0</v>
      </c>
      <c r="D146" s="6"/>
      <c r="E146" s="133"/>
      <c r="F146" s="133"/>
      <c r="G146" s="133"/>
    </row>
    <row r="147" spans="2:7" x14ac:dyDescent="0.2">
      <c r="B147" s="6"/>
      <c r="C147" s="6"/>
      <c r="D147" s="6"/>
      <c r="E147" s="133"/>
      <c r="F147" s="133"/>
      <c r="G147" s="133"/>
    </row>
    <row r="148" spans="2:7" x14ac:dyDescent="0.2">
      <c r="B148" s="133"/>
      <c r="C148" s="133"/>
      <c r="D148" s="133"/>
      <c r="E148" s="133"/>
      <c r="F148" s="133"/>
      <c r="G148" s="133"/>
    </row>
    <row r="149" spans="2:7" x14ac:dyDescent="0.2">
      <c r="B149" s="133"/>
      <c r="C149" s="133"/>
      <c r="D149" s="133"/>
      <c r="E149" s="133"/>
      <c r="F149" s="133"/>
      <c r="G149" s="133"/>
    </row>
    <row r="150" spans="2:7" x14ac:dyDescent="0.2">
      <c r="B150" s="133"/>
      <c r="C150" s="133"/>
      <c r="D150" s="133"/>
      <c r="E150" s="133"/>
      <c r="F150" s="133"/>
      <c r="G150" s="133"/>
    </row>
    <row r="151" spans="2:7" x14ac:dyDescent="0.2">
      <c r="B151" s="133"/>
      <c r="C151" s="133"/>
      <c r="D151" s="133"/>
      <c r="E151" s="133"/>
      <c r="F151" s="133"/>
      <c r="G151" s="133"/>
    </row>
    <row r="152" spans="2:7" x14ac:dyDescent="0.2">
      <c r="B152" s="133"/>
      <c r="C152" s="133"/>
      <c r="D152" s="133"/>
      <c r="E152" s="133"/>
      <c r="F152" s="133"/>
      <c r="G152" s="133"/>
    </row>
    <row r="153" spans="2:7" x14ac:dyDescent="0.2">
      <c r="B153" s="133"/>
      <c r="C153" s="133"/>
      <c r="D153" s="133"/>
      <c r="E153" s="133"/>
      <c r="F153" s="133"/>
      <c r="G153" s="133"/>
    </row>
    <row r="154" spans="2:7" x14ac:dyDescent="0.2">
      <c r="B154" s="133"/>
      <c r="C154" s="133"/>
      <c r="D154" s="133"/>
      <c r="E154" s="133"/>
      <c r="F154" s="133"/>
      <c r="G154" s="133"/>
    </row>
    <row r="155" spans="2:7" x14ac:dyDescent="0.2">
      <c r="B155" s="133"/>
      <c r="C155" s="133"/>
      <c r="D155" s="133"/>
      <c r="E155" s="133"/>
      <c r="F155" s="133"/>
      <c r="G155" s="133"/>
    </row>
    <row r="156" spans="2:7" x14ac:dyDescent="0.2">
      <c r="B156" s="133"/>
      <c r="C156" s="133"/>
      <c r="D156" s="133"/>
      <c r="E156" s="133"/>
      <c r="F156" s="133"/>
      <c r="G156" s="133"/>
    </row>
    <row r="157" spans="2:7" x14ac:dyDescent="0.2">
      <c r="B157" s="133"/>
      <c r="C157" s="133"/>
      <c r="D157" s="133"/>
      <c r="E157" s="133"/>
      <c r="F157" s="133"/>
      <c r="G157" s="133"/>
    </row>
    <row r="158" spans="2:7" x14ac:dyDescent="0.2">
      <c r="B158" s="133"/>
      <c r="C158" s="133"/>
      <c r="D158" s="133"/>
      <c r="E158" s="133"/>
      <c r="F158" s="133"/>
      <c r="G158" s="133"/>
    </row>
    <row r="159" spans="2:7" x14ac:dyDescent="0.2">
      <c r="B159" s="133"/>
      <c r="C159" s="133"/>
      <c r="D159" s="133"/>
      <c r="E159" s="133"/>
      <c r="F159" s="133"/>
      <c r="G159" s="133"/>
    </row>
    <row r="160" spans="2:7" x14ac:dyDescent="0.2">
      <c r="B160" s="133"/>
      <c r="C160" s="133"/>
      <c r="D160" s="133"/>
      <c r="E160" s="133"/>
      <c r="F160" s="133"/>
      <c r="G160" s="133"/>
    </row>
    <row r="161" spans="2:7" x14ac:dyDescent="0.2">
      <c r="B161" s="133"/>
      <c r="C161" s="133"/>
      <c r="D161" s="133"/>
      <c r="E161" s="133"/>
      <c r="F161" s="133"/>
      <c r="G161" s="133"/>
    </row>
    <row r="162" spans="2:7" x14ac:dyDescent="0.2">
      <c r="B162" s="133"/>
      <c r="C162" s="133"/>
      <c r="D162" s="133"/>
      <c r="E162" s="133"/>
      <c r="F162" s="133"/>
      <c r="G162" s="133"/>
    </row>
    <row r="163" spans="2:7" x14ac:dyDescent="0.2">
      <c r="B163" s="133"/>
      <c r="C163" s="133"/>
      <c r="D163" s="133"/>
      <c r="E163" s="133"/>
      <c r="F163" s="133"/>
      <c r="G163" s="133"/>
    </row>
    <row r="164" spans="2:7" x14ac:dyDescent="0.2">
      <c r="B164" s="133"/>
      <c r="C164" s="133"/>
      <c r="D164" s="133"/>
      <c r="E164" s="133"/>
      <c r="F164" s="133"/>
      <c r="G164" s="133"/>
    </row>
    <row r="165" spans="2:7" x14ac:dyDescent="0.2">
      <c r="B165" s="133"/>
      <c r="C165" s="133"/>
      <c r="D165" s="133"/>
      <c r="E165" s="133"/>
      <c r="F165" s="133"/>
      <c r="G165" s="133"/>
    </row>
    <row r="166" spans="2:7" x14ac:dyDescent="0.2">
      <c r="B166" s="133"/>
      <c r="C166" s="133"/>
      <c r="D166" s="133"/>
      <c r="E166" s="133"/>
      <c r="F166" s="133"/>
      <c r="G166" s="133"/>
    </row>
    <row r="167" spans="2:7" x14ac:dyDescent="0.2">
      <c r="B167" s="133"/>
      <c r="C167" s="133"/>
      <c r="D167" s="133"/>
      <c r="E167" s="133"/>
      <c r="F167" s="133"/>
      <c r="G167" s="133"/>
    </row>
    <row r="168" spans="2:7" x14ac:dyDescent="0.2">
      <c r="B168" s="133"/>
      <c r="C168" s="133"/>
      <c r="D168" s="133"/>
      <c r="E168" s="133"/>
      <c r="F168" s="133"/>
      <c r="G168" s="133"/>
    </row>
    <row r="169" spans="2:7" x14ac:dyDescent="0.2">
      <c r="B169" s="133"/>
      <c r="C169" s="133"/>
      <c r="D169" s="133"/>
      <c r="E169" s="133"/>
      <c r="F169" s="133"/>
      <c r="G169" s="133"/>
    </row>
    <row r="170" spans="2:7" x14ac:dyDescent="0.2">
      <c r="B170" s="133"/>
      <c r="C170" s="133"/>
      <c r="D170" s="133"/>
      <c r="E170" s="133"/>
      <c r="F170" s="133"/>
      <c r="G170" s="133"/>
    </row>
    <row r="171" spans="2:7" x14ac:dyDescent="0.2">
      <c r="B171" s="133"/>
      <c r="C171" s="133"/>
      <c r="D171" s="133"/>
      <c r="E171" s="133"/>
      <c r="F171" s="133"/>
      <c r="G171" s="133"/>
    </row>
    <row r="172" spans="2:7" x14ac:dyDescent="0.2">
      <c r="B172" s="133"/>
      <c r="C172" s="133"/>
      <c r="D172" s="133"/>
      <c r="E172" s="133"/>
      <c r="F172" s="133"/>
      <c r="G172" s="133"/>
    </row>
    <row r="173" spans="2:7" x14ac:dyDescent="0.2">
      <c r="B173" s="133"/>
      <c r="C173" s="133"/>
      <c r="D173" s="133"/>
      <c r="E173" s="133"/>
      <c r="F173" s="133"/>
      <c r="G173" s="133"/>
    </row>
    <row r="174" spans="2:7" x14ac:dyDescent="0.2">
      <c r="B174" s="133"/>
      <c r="C174" s="133"/>
      <c r="D174" s="133"/>
      <c r="E174" s="133"/>
      <c r="F174" s="133"/>
      <c r="G174" s="133"/>
    </row>
    <row r="175" spans="2:7" x14ac:dyDescent="0.2">
      <c r="B175" s="133"/>
      <c r="C175" s="133"/>
      <c r="D175" s="133"/>
      <c r="E175" s="133"/>
      <c r="F175" s="133"/>
      <c r="G175" s="133"/>
    </row>
    <row r="176" spans="2:7" x14ac:dyDescent="0.2">
      <c r="B176" s="133"/>
      <c r="C176" s="133"/>
      <c r="D176" s="133"/>
      <c r="E176" s="133"/>
      <c r="F176" s="133"/>
      <c r="G176" s="133"/>
    </row>
    <row r="177" spans="2:7" x14ac:dyDescent="0.2">
      <c r="B177" s="133"/>
      <c r="C177" s="133"/>
      <c r="D177" s="133"/>
      <c r="E177" s="133"/>
      <c r="F177" s="133"/>
      <c r="G177" s="133"/>
    </row>
    <row r="178" spans="2:7" x14ac:dyDescent="0.2">
      <c r="B178" s="133"/>
      <c r="C178" s="133"/>
      <c r="D178" s="133"/>
      <c r="E178" s="133"/>
      <c r="F178" s="133"/>
      <c r="G178" s="133"/>
    </row>
    <row r="179" spans="2:7" x14ac:dyDescent="0.2">
      <c r="B179" s="133"/>
      <c r="C179" s="133"/>
      <c r="D179" s="133"/>
      <c r="E179" s="133"/>
      <c r="F179" s="133"/>
      <c r="G179" s="133"/>
    </row>
    <row r="180" spans="2:7" x14ac:dyDescent="0.2">
      <c r="B180" s="133"/>
      <c r="C180" s="133"/>
      <c r="D180" s="133"/>
      <c r="E180" s="133"/>
      <c r="F180" s="133"/>
      <c r="G180" s="133"/>
    </row>
    <row r="181" spans="2:7" x14ac:dyDescent="0.2">
      <c r="B181" s="133"/>
      <c r="C181" s="133"/>
      <c r="D181" s="133"/>
      <c r="E181" s="133"/>
      <c r="F181" s="133"/>
      <c r="G181" s="133"/>
    </row>
    <row r="182" spans="2:7" x14ac:dyDescent="0.2">
      <c r="B182" s="133"/>
      <c r="C182" s="133"/>
      <c r="D182" s="133"/>
      <c r="E182" s="133"/>
      <c r="F182" s="133"/>
      <c r="G182" s="133"/>
    </row>
    <row r="183" spans="2:7" x14ac:dyDescent="0.2">
      <c r="B183" s="133"/>
      <c r="C183" s="133"/>
      <c r="D183" s="133"/>
      <c r="E183" s="133"/>
      <c r="F183" s="133"/>
      <c r="G183" s="133"/>
    </row>
    <row r="184" spans="2:7" x14ac:dyDescent="0.2">
      <c r="B184" s="133"/>
      <c r="C184" s="133"/>
      <c r="D184" s="133"/>
      <c r="E184" s="133"/>
      <c r="F184" s="133"/>
      <c r="G184" s="133"/>
    </row>
    <row r="185" spans="2:7" x14ac:dyDescent="0.2">
      <c r="B185" s="133"/>
      <c r="C185" s="133"/>
      <c r="D185" s="133"/>
      <c r="E185" s="133"/>
      <c r="F185" s="133"/>
      <c r="G185" s="133"/>
    </row>
    <row r="186" spans="2:7" x14ac:dyDescent="0.2">
      <c r="B186" s="133"/>
      <c r="C186" s="133"/>
      <c r="D186" s="133"/>
      <c r="E186" s="133"/>
      <c r="F186" s="133"/>
      <c r="G186" s="133"/>
    </row>
    <row r="187" spans="2:7" x14ac:dyDescent="0.2">
      <c r="B187" s="133"/>
      <c r="C187" s="133"/>
      <c r="D187" s="133"/>
      <c r="E187" s="133"/>
      <c r="F187" s="133"/>
      <c r="G187" s="133"/>
    </row>
    <row r="188" spans="2:7" x14ac:dyDescent="0.2">
      <c r="B188" s="133"/>
      <c r="C188" s="133"/>
      <c r="D188" s="133"/>
      <c r="E188" s="133"/>
      <c r="F188" s="133"/>
      <c r="G188" s="133"/>
    </row>
    <row r="189" spans="2:7" x14ac:dyDescent="0.2">
      <c r="B189" s="133"/>
      <c r="C189" s="133"/>
      <c r="D189" s="133"/>
      <c r="E189" s="133"/>
      <c r="F189" s="133"/>
      <c r="G189" s="133"/>
    </row>
    <row r="190" spans="2:7" x14ac:dyDescent="0.2">
      <c r="B190" s="133"/>
      <c r="C190" s="133"/>
      <c r="D190" s="133"/>
      <c r="E190" s="133"/>
      <c r="F190" s="133"/>
      <c r="G190" s="133"/>
    </row>
    <row r="191" spans="2:7" x14ac:dyDescent="0.2">
      <c r="B191" s="133"/>
      <c r="C191" s="133"/>
      <c r="D191" s="133"/>
      <c r="E191" s="133"/>
      <c r="F191" s="133"/>
      <c r="G191" s="133"/>
    </row>
    <row r="192" spans="2:7" x14ac:dyDescent="0.2">
      <c r="B192" s="133"/>
      <c r="C192" s="133"/>
      <c r="D192" s="133"/>
      <c r="E192" s="133"/>
      <c r="F192" s="133"/>
      <c r="G192" s="133"/>
    </row>
    <row r="193" spans="2:7" x14ac:dyDescent="0.2">
      <c r="B193" s="133"/>
      <c r="C193" s="133"/>
      <c r="D193" s="133"/>
      <c r="E193" s="133"/>
      <c r="F193" s="133"/>
      <c r="G193" s="133"/>
    </row>
    <row r="194" spans="2:7" x14ac:dyDescent="0.2">
      <c r="B194" s="133"/>
      <c r="C194" s="133"/>
      <c r="D194" s="133"/>
      <c r="E194" s="133"/>
      <c r="F194" s="133"/>
      <c r="G194" s="133"/>
    </row>
    <row r="195" spans="2:7" x14ac:dyDescent="0.2">
      <c r="B195" s="133"/>
      <c r="C195" s="133"/>
      <c r="D195" s="133"/>
      <c r="E195" s="133"/>
      <c r="F195" s="133"/>
      <c r="G195" s="133"/>
    </row>
    <row r="196" spans="2:7" x14ac:dyDescent="0.2">
      <c r="B196" s="133"/>
      <c r="C196" s="133"/>
      <c r="D196" s="133"/>
      <c r="E196" s="133"/>
      <c r="F196" s="133"/>
      <c r="G196" s="133"/>
    </row>
    <row r="197" spans="2:7" x14ac:dyDescent="0.2">
      <c r="B197" s="133"/>
      <c r="C197" s="133"/>
      <c r="D197" s="133"/>
      <c r="E197" s="133"/>
      <c r="F197" s="133"/>
      <c r="G197" s="133"/>
    </row>
    <row r="198" spans="2:7" x14ac:dyDescent="0.2">
      <c r="B198" s="133"/>
      <c r="C198" s="133"/>
      <c r="D198" s="133"/>
      <c r="E198" s="133"/>
      <c r="F198" s="133"/>
      <c r="G198" s="133"/>
    </row>
    <row r="199" spans="2:7" x14ac:dyDescent="0.2">
      <c r="B199" s="133"/>
      <c r="C199" s="133"/>
      <c r="D199" s="133"/>
      <c r="E199" s="133"/>
      <c r="F199" s="133"/>
      <c r="G199" s="133"/>
    </row>
    <row r="200" spans="2:7" x14ac:dyDescent="0.2">
      <c r="B200" s="133"/>
      <c r="C200" s="133"/>
      <c r="D200" s="133"/>
      <c r="E200" s="133"/>
      <c r="F200" s="133"/>
      <c r="G200" s="133"/>
    </row>
    <row r="201" spans="2:7" x14ac:dyDescent="0.2">
      <c r="B201" s="133"/>
      <c r="C201" s="133"/>
      <c r="D201" s="133"/>
      <c r="E201" s="133"/>
      <c r="F201" s="133"/>
      <c r="G201" s="133"/>
    </row>
    <row r="202" spans="2:7" x14ac:dyDescent="0.2">
      <c r="B202" s="133"/>
      <c r="C202" s="133"/>
      <c r="D202" s="133"/>
      <c r="E202" s="133"/>
      <c r="F202" s="133"/>
      <c r="G202" s="133"/>
    </row>
    <row r="203" spans="2:7" x14ac:dyDescent="0.2">
      <c r="B203" s="133"/>
      <c r="C203" s="133"/>
      <c r="D203" s="133"/>
      <c r="E203" s="133"/>
      <c r="F203" s="133"/>
      <c r="G203" s="133"/>
    </row>
    <row r="204" spans="2:7" x14ac:dyDescent="0.2">
      <c r="B204" s="133"/>
      <c r="C204" s="133"/>
      <c r="D204" s="133"/>
      <c r="E204" s="133"/>
      <c r="F204" s="133"/>
      <c r="G204" s="133"/>
    </row>
    <row r="205" spans="2:7" x14ac:dyDescent="0.2">
      <c r="B205" s="133"/>
      <c r="C205" s="133"/>
      <c r="D205" s="133"/>
      <c r="E205" s="133"/>
      <c r="F205" s="133"/>
      <c r="G205" s="133"/>
    </row>
    <row r="206" spans="2:7" x14ac:dyDescent="0.2">
      <c r="B206" s="133"/>
      <c r="C206" s="133"/>
      <c r="D206" s="133"/>
      <c r="E206" s="133"/>
      <c r="F206" s="133"/>
      <c r="G206" s="133"/>
    </row>
    <row r="207" spans="2:7" x14ac:dyDescent="0.2">
      <c r="B207" s="133"/>
      <c r="C207" s="133"/>
      <c r="D207" s="133"/>
      <c r="E207" s="133"/>
      <c r="F207" s="133"/>
      <c r="G207" s="133"/>
    </row>
    <row r="208" spans="2:7" x14ac:dyDescent="0.2">
      <c r="B208" s="133"/>
      <c r="C208" s="133"/>
      <c r="D208" s="133"/>
      <c r="E208" s="133"/>
      <c r="F208" s="133"/>
      <c r="G208" s="133"/>
    </row>
    <row r="209" spans="2:7" x14ac:dyDescent="0.2">
      <c r="B209" s="133"/>
      <c r="C209" s="133"/>
      <c r="D209" s="133"/>
      <c r="E209" s="133"/>
      <c r="F209" s="133"/>
      <c r="G209" s="133"/>
    </row>
    <row r="210" spans="2:7" x14ac:dyDescent="0.2">
      <c r="B210" s="133"/>
      <c r="C210" s="133"/>
      <c r="D210" s="133"/>
      <c r="E210" s="133"/>
      <c r="F210" s="133"/>
      <c r="G210" s="133"/>
    </row>
    <row r="211" spans="2:7" x14ac:dyDescent="0.2">
      <c r="B211" s="133"/>
      <c r="C211" s="133"/>
      <c r="D211" s="133"/>
      <c r="E211" s="133"/>
      <c r="F211" s="133"/>
      <c r="G211" s="133"/>
    </row>
    <row r="212" spans="2:7" x14ac:dyDescent="0.2">
      <c r="B212" s="133"/>
      <c r="C212" s="133"/>
      <c r="D212" s="133"/>
      <c r="E212" s="133"/>
      <c r="F212" s="133"/>
      <c r="G212" s="133"/>
    </row>
    <row r="213" spans="2:7" x14ac:dyDescent="0.2">
      <c r="B213" s="133"/>
      <c r="C213" s="133"/>
      <c r="D213" s="133"/>
      <c r="E213" s="133"/>
      <c r="F213" s="133"/>
      <c r="G213" s="133"/>
    </row>
    <row r="214" spans="2:7" x14ac:dyDescent="0.2">
      <c r="B214" s="133"/>
      <c r="C214" s="133"/>
      <c r="D214" s="133"/>
      <c r="E214" s="133"/>
      <c r="F214" s="133"/>
      <c r="G214" s="133"/>
    </row>
    <row r="215" spans="2:7" x14ac:dyDescent="0.2">
      <c r="B215" s="133"/>
      <c r="C215" s="133"/>
      <c r="D215" s="133"/>
      <c r="E215" s="133"/>
      <c r="F215" s="133"/>
      <c r="G215" s="133"/>
    </row>
    <row r="216" spans="2:7" x14ac:dyDescent="0.2">
      <c r="B216" s="133"/>
      <c r="C216" s="133"/>
      <c r="D216" s="133"/>
      <c r="E216" s="133"/>
      <c r="F216" s="133"/>
      <c r="G216" s="133"/>
    </row>
    <row r="217" spans="2:7" x14ac:dyDescent="0.2">
      <c r="B217" s="133"/>
      <c r="C217" s="133"/>
      <c r="D217" s="133"/>
      <c r="E217" s="133"/>
      <c r="F217" s="133"/>
      <c r="G217" s="133"/>
    </row>
    <row r="218" spans="2:7" x14ac:dyDescent="0.2">
      <c r="B218" s="133"/>
      <c r="C218" s="133"/>
      <c r="D218" s="133"/>
      <c r="E218" s="133"/>
      <c r="F218" s="133"/>
      <c r="G218" s="133"/>
    </row>
    <row r="219" spans="2:7" x14ac:dyDescent="0.2">
      <c r="B219" s="133"/>
      <c r="C219" s="133"/>
      <c r="D219" s="133"/>
      <c r="E219" s="133"/>
      <c r="F219" s="133"/>
      <c r="G219" s="133"/>
    </row>
    <row r="220" spans="2:7" x14ac:dyDescent="0.2">
      <c r="B220" s="133"/>
      <c r="C220" s="133"/>
      <c r="D220" s="133"/>
      <c r="E220" s="133"/>
      <c r="F220" s="133"/>
      <c r="G220" s="133"/>
    </row>
    <row r="221" spans="2:7" x14ac:dyDescent="0.2">
      <c r="B221" s="133"/>
      <c r="C221" s="133"/>
      <c r="D221" s="133"/>
      <c r="E221" s="133"/>
      <c r="F221" s="133"/>
      <c r="G221" s="133"/>
    </row>
  </sheetData>
  <mergeCells count="8">
    <mergeCell ref="B6:C6"/>
    <mergeCell ref="B32:C32"/>
    <mergeCell ref="C104:D104"/>
    <mergeCell ref="E104:F104"/>
    <mergeCell ref="C34:D34"/>
    <mergeCell ref="C49:D49"/>
    <mergeCell ref="C64:D64"/>
    <mergeCell ref="C79:D7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0C3C-2FB9-4CCC-B828-1927EB5F5FF7}">
  <sheetPr>
    <tabColor rgb="FFCC6600"/>
  </sheetPr>
  <dimension ref="A1:F1000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43" customWidth="1"/>
    <col min="2" max="2" width="16.6640625" style="68" customWidth="1"/>
    <col min="3" max="3" width="4.6640625" style="68" customWidth="1"/>
    <col min="4" max="4" width="54.33203125" style="69" customWidth="1"/>
    <col min="5" max="5" width="18.33203125" style="69" customWidth="1"/>
    <col min="6" max="6" width="29.1640625" customWidth="1"/>
    <col min="7" max="7" width="39.5" customWidth="1"/>
  </cols>
  <sheetData>
    <row r="1" spans="1:6" s="72" customFormat="1" ht="26" x14ac:dyDescent="0.3">
      <c r="A1" s="71" t="s">
        <v>192</v>
      </c>
    </row>
    <row r="2" spans="1:6" s="3" customFormat="1" x14ac:dyDescent="0.2">
      <c r="A2" s="3" t="s">
        <v>204</v>
      </c>
      <c r="F2" s="8"/>
    </row>
    <row r="3" spans="1:6" x14ac:dyDescent="0.2">
      <c r="B3"/>
      <c r="C3"/>
      <c r="D3"/>
      <c r="E3"/>
      <c r="F3" s="2"/>
    </row>
    <row r="4" spans="1:6" ht="26" x14ac:dyDescent="0.2">
      <c r="A4" s="99" t="s">
        <v>209</v>
      </c>
      <c r="B4" s="99"/>
      <c r="C4" s="99"/>
      <c r="D4" s="99"/>
      <c r="E4" s="99"/>
      <c r="F4" s="99"/>
    </row>
    <row r="5" spans="1:6" x14ac:dyDescent="0.2">
      <c r="A5" s="101" t="s">
        <v>209</v>
      </c>
      <c r="B5" s="101"/>
      <c r="C5"/>
      <c r="D5" s="94" t="s">
        <v>189</v>
      </c>
      <c r="E5" s="94" t="s">
        <v>190</v>
      </c>
      <c r="F5" s="2"/>
    </row>
    <row r="6" spans="1:6" x14ac:dyDescent="0.2">
      <c r="A6" s="11" t="s">
        <v>210</v>
      </c>
      <c r="B6" s="93" t="str" cm="1">
        <f t="array" ref="B6">IFERROR(INDEX('rawdata | iteration analysis'!$2:$2, E6), 0)</f>
        <v>Q24-4.8</v>
      </c>
      <c r="C6"/>
      <c r="D6" s="69" t="s">
        <v>95</v>
      </c>
      <c r="E6" s="69">
        <f>MATCH(D6, 'rawdata | iteration analysis'!$1:$1, )</f>
        <v>1</v>
      </c>
      <c r="F6" s="2"/>
    </row>
    <row r="7" spans="1:6" x14ac:dyDescent="0.2">
      <c r="A7" s="11" t="s">
        <v>211</v>
      </c>
      <c r="B7" s="93" t="str" cm="1">
        <f t="array" ref="B7">IFERROR(INDEX('rawdata | iteration analysis'!$2:$2, E7), 0)</f>
        <v>Architecture &amp; Engineering</v>
      </c>
      <c r="C7"/>
      <c r="D7" s="69" t="s">
        <v>96</v>
      </c>
      <c r="E7" s="69">
        <f>MATCH(D7, 'rawdata | iteration analysis'!$1:$1, )</f>
        <v>2</v>
      </c>
      <c r="F7" s="2"/>
    </row>
    <row r="8" spans="1:6" x14ac:dyDescent="0.2">
      <c r="A8" s="11" t="s">
        <v>212</v>
      </c>
      <c r="B8" s="102" cm="1">
        <f t="array" ref="B8">IFERROR(INDEX('rawdata | iteration analysis'!$2:$2, E8), 0)</f>
        <v>45476</v>
      </c>
      <c r="C8"/>
      <c r="D8" s="69" t="s">
        <v>97</v>
      </c>
      <c r="E8" s="69">
        <f>MATCH(D8, 'rawdata | iteration analysis'!$1:$1, )</f>
        <v>3</v>
      </c>
      <c r="F8" s="2"/>
    </row>
    <row r="9" spans="1:6" x14ac:dyDescent="0.2">
      <c r="A9" s="11" t="s">
        <v>213</v>
      </c>
      <c r="B9" s="102" cm="1">
        <f t="array" ref="B9">IFERROR(INDEX('rawdata | iteration analysis'!$2:$2, E9), 0)</f>
        <v>45491</v>
      </c>
      <c r="C9"/>
      <c r="D9" s="69" t="s">
        <v>98</v>
      </c>
      <c r="E9" s="69">
        <f>MATCH(D9, 'rawdata | iteration analysis'!$1:$1, )</f>
        <v>4</v>
      </c>
      <c r="F9" s="2"/>
    </row>
    <row r="10" spans="1:6" x14ac:dyDescent="0.2">
      <c r="B10"/>
      <c r="C10"/>
      <c r="D10"/>
      <c r="E10"/>
      <c r="F10" s="2"/>
    </row>
    <row r="11" spans="1:6" x14ac:dyDescent="0.2">
      <c r="B11"/>
      <c r="C11"/>
      <c r="D11"/>
      <c r="E11"/>
      <c r="F11" s="2"/>
    </row>
    <row r="12" spans="1:6" x14ac:dyDescent="0.2">
      <c r="B12"/>
      <c r="C12"/>
      <c r="D12"/>
      <c r="E12"/>
      <c r="F12" s="2"/>
    </row>
    <row r="13" spans="1:6" x14ac:dyDescent="0.2">
      <c r="B13"/>
      <c r="C13"/>
      <c r="D13"/>
      <c r="E13"/>
      <c r="F13" s="2"/>
    </row>
    <row r="14" spans="1:6" x14ac:dyDescent="0.2">
      <c r="B14"/>
      <c r="C14"/>
      <c r="D14"/>
      <c r="E14"/>
      <c r="F14" s="2"/>
    </row>
    <row r="15" spans="1:6" ht="39.5" customHeight="1" x14ac:dyDescent="0.2">
      <c r="A15" s="99" t="s">
        <v>205</v>
      </c>
      <c r="B15" s="99"/>
      <c r="C15" s="99"/>
      <c r="D15" s="100" t="s">
        <v>206</v>
      </c>
      <c r="E15" s="99"/>
      <c r="F15" s="99"/>
    </row>
    <row r="16" spans="1:6" s="2" customFormat="1" x14ac:dyDescent="0.2">
      <c r="A16" s="9" t="s">
        <v>188</v>
      </c>
      <c r="B16" s="9" t="s">
        <v>94</v>
      </c>
      <c r="C16" s="70"/>
      <c r="D16" s="94" t="s">
        <v>189</v>
      </c>
      <c r="E16" s="94" t="s">
        <v>190</v>
      </c>
    </row>
    <row r="17" spans="1:5" x14ac:dyDescent="0.2">
      <c r="A17" s="86" t="str">
        <f>'Calculated Stats'!B8</f>
        <v>BAU</v>
      </c>
      <c r="B17" s="53" cm="1">
        <f t="array" ref="B17">IFERROR(INDEX('rawdata | iteration analysis'!$2:$2, E17), 0)</f>
        <v>20.5</v>
      </c>
      <c r="D17" s="69" t="str">
        <f>_xlfn.CONCAT("labels_", A17,"_",D$15)</f>
        <v>labels_BAU_storyPoints</v>
      </c>
      <c r="E17" s="69">
        <f>MATCH(D17, 'rawdata | iteration analysis'!$1:$1, )</f>
        <v>22</v>
      </c>
    </row>
    <row r="18" spans="1:5" x14ac:dyDescent="0.2">
      <c r="A18" s="86" t="str">
        <f>'Calculated Stats'!B9</f>
        <v>Improvement</v>
      </c>
      <c r="B18" s="53" cm="1">
        <f t="array" ref="B18">IFERROR(INDEX('rawdata | iteration analysis'!$2:$2, E18), 0)</f>
        <v>0</v>
      </c>
      <c r="D18" s="69" t="str">
        <f>_xlfn.CONCAT("labels_", A18,"_",D$15)</f>
        <v>labels_Improvement_storyPoints</v>
      </c>
      <c r="E18" s="69" t="e">
        <f>MATCH(D18, 'rawdata | iteration analysis'!$1:$1, )</f>
        <v>#N/A</v>
      </c>
    </row>
    <row r="19" spans="1:5" x14ac:dyDescent="0.2">
      <c r="A19" s="86" t="str">
        <f>'Calculated Stats'!B10</f>
        <v>Convergence</v>
      </c>
      <c r="B19" s="53" cm="1">
        <f t="array" ref="B19">IFERROR(INDEX('rawdata | iteration analysis'!$2:$2, E19), 0)</f>
        <v>16.5</v>
      </c>
      <c r="D19" s="69" t="str">
        <f>_xlfn.CONCAT("labels_", A19,"_",D$15)</f>
        <v>labels_Convergence_storyPoints</v>
      </c>
      <c r="E19" s="69">
        <f>MATCH(D19, 'rawdata | iteration analysis'!$1:$1, )</f>
        <v>26</v>
      </c>
    </row>
    <row r="20" spans="1:5" x14ac:dyDescent="0.2">
      <c r="A20" s="86" t="str">
        <f>'Calculated Stats'!B11</f>
        <v>Project</v>
      </c>
      <c r="B20" s="53" cm="1">
        <f t="array" ref="B20">IFERROR(INDEX('rawdata | iteration analysis'!$2:$2, E20), 0)</f>
        <v>41.5</v>
      </c>
      <c r="D20" s="69" t="str">
        <f>_xlfn.CONCAT("labels_", A20, "_",D$15)</f>
        <v>labels_Project_storyPoints</v>
      </c>
      <c r="E20" s="69">
        <f>MATCH(D20, 'rawdata | iteration analysis'!$1:$1, )</f>
        <v>30</v>
      </c>
    </row>
    <row r="21" spans="1:5" x14ac:dyDescent="0.2">
      <c r="A21" s="86">
        <f>'Calculated Stats'!B12</f>
        <v>5</v>
      </c>
      <c r="B21" s="53" cm="1">
        <f t="array" ref="B21">IFERROR(INDEX('rawdata | iteration analysis'!$2:$2, E21), 0)</f>
        <v>0</v>
      </c>
      <c r="D21" s="69" t="str">
        <f>_xlfn.CONCAT("labels_", A21,"_",D$15)</f>
        <v>labels_5_storyPoints</v>
      </c>
      <c r="E21" s="69" t="e">
        <f>MATCH(D21, 'rawdata | iteration analysis'!$1:$1, )</f>
        <v>#N/A</v>
      </c>
    </row>
    <row r="22" spans="1:5" x14ac:dyDescent="0.2">
      <c r="A22" s="86">
        <f>'Calculated Stats'!B13</f>
        <v>6</v>
      </c>
      <c r="B22" s="53" cm="1">
        <f t="array" ref="B22">IFERROR(INDEX('rawdata | iteration analysis'!$2:$2, E22), 0)</f>
        <v>0</v>
      </c>
      <c r="D22" s="69" t="str">
        <f>_xlfn.CONCAT("labels_", A22, "_",D$15)</f>
        <v>labels_6_storyPoints</v>
      </c>
      <c r="E22" s="69" t="e">
        <f>MATCH(D22, 'rawdata | iteration analysis'!$1:$1, )</f>
        <v>#N/A</v>
      </c>
    </row>
    <row r="23" spans="1:5" x14ac:dyDescent="0.2">
      <c r="A23" s="86">
        <f>'Calculated Stats'!B14</f>
        <v>7</v>
      </c>
      <c r="B23" s="53" cm="1">
        <f t="array" ref="B23">IFERROR(INDEX('rawdata | iteration analysis'!$2:$2, E23), 0)</f>
        <v>0</v>
      </c>
      <c r="D23" s="69" t="str">
        <f>_xlfn.CONCAT("labels_", A23,"_",D$15)</f>
        <v>labels_7_storyPoints</v>
      </c>
      <c r="E23" s="69" t="e">
        <f>MATCH(D23, 'rawdata | iteration analysis'!$1:$1, )</f>
        <v>#N/A</v>
      </c>
    </row>
    <row r="24" spans="1:5" x14ac:dyDescent="0.2">
      <c r="A24" s="86">
        <f>'Calculated Stats'!B15</f>
        <v>8</v>
      </c>
      <c r="B24" s="53" cm="1">
        <f t="array" ref="B24">IFERROR(INDEX('rawdata | iteration analysis'!$2:$2, E24), 0)</f>
        <v>0</v>
      </c>
      <c r="D24" s="69" t="str">
        <f>_xlfn.CONCAT("labels_", A24,"_",D$15)</f>
        <v>labels_8_storyPoints</v>
      </c>
      <c r="E24" s="69" t="e">
        <f>MATCH(D24, 'rawdata | iteration analysis'!$1:$1, )</f>
        <v>#N/A</v>
      </c>
    </row>
    <row r="25" spans="1:5" x14ac:dyDescent="0.2">
      <c r="A25" s="86">
        <f>'Calculated Stats'!B16</f>
        <v>9</v>
      </c>
      <c r="B25" s="53" cm="1">
        <f t="array" ref="B25">IFERROR(INDEX('rawdata | iteration analysis'!$2:$2, E25), 0)</f>
        <v>0</v>
      </c>
      <c r="D25" s="69" t="str">
        <f>_xlfn.CONCAT("labels_", A25,"_",D$15)</f>
        <v>labels_9_storyPoints</v>
      </c>
      <c r="E25" s="69" t="e">
        <f>MATCH(D25, 'rawdata | iteration analysis'!$1:$1, )</f>
        <v>#N/A</v>
      </c>
    </row>
    <row r="26" spans="1:5" x14ac:dyDescent="0.2">
      <c r="A26" s="86">
        <f>'Calculated Stats'!B17</f>
        <v>10</v>
      </c>
      <c r="B26" s="53" cm="1">
        <f t="array" ref="B26">IFERROR(INDEX('rawdata | iteration analysis'!$2:$2, E26), 0)</f>
        <v>0</v>
      </c>
      <c r="D26" s="69" t="str">
        <f>_xlfn.CONCAT("labels_", A26,"_",D$15)</f>
        <v>labels_10_storyPoints</v>
      </c>
      <c r="E26" s="69" t="e">
        <f>MATCH(D26, 'rawdata | iteration analysis'!$1:$1, )</f>
        <v>#N/A</v>
      </c>
    </row>
    <row r="27" spans="1:5" x14ac:dyDescent="0.2">
      <c r="D27" s="68"/>
      <c r="E27" s="68"/>
    </row>
    <row r="28" spans="1:5" s="2" customFormat="1" x14ac:dyDescent="0.2">
      <c r="A28" s="9" t="s">
        <v>187</v>
      </c>
      <c r="B28" s="87"/>
      <c r="C28" s="70"/>
      <c r="D28" s="94" t="s">
        <v>189</v>
      </c>
      <c r="E28" s="94" t="s">
        <v>190</v>
      </c>
    </row>
    <row r="29" spans="1:5" x14ac:dyDescent="0.2">
      <c r="A29" s="86" t="str">
        <f>'Calculated Stats'!B8</f>
        <v>BAU</v>
      </c>
      <c r="B29" s="53" cm="1">
        <f t="array" ref="B29">IFERROR(INDEX('rawdata | iteration analysis'!$2:$2, E29), 0)</f>
        <v>11.5</v>
      </c>
      <c r="D29" s="69" t="str">
        <f t="shared" ref="D29:D38" si="0">_xlfn.CONCAT("completedLabels_", A29,"_",D$15)</f>
        <v>completedLabels_BAU_storyPoints</v>
      </c>
      <c r="E29" s="69">
        <f>MATCH(D29, 'rawdata | iteration analysis'!$1:$1, )</f>
        <v>54</v>
      </c>
    </row>
    <row r="30" spans="1:5" x14ac:dyDescent="0.2">
      <c r="A30" s="86" t="str">
        <f>'Calculated Stats'!B9</f>
        <v>Improvement</v>
      </c>
      <c r="B30" s="53" cm="1">
        <f t="array" ref="B30">IFERROR(INDEX('rawdata | iteration analysis'!$2:$2, E30), 0)</f>
        <v>0</v>
      </c>
      <c r="D30" s="69" t="str">
        <f t="shared" si="0"/>
        <v>completedLabels_Improvement_storyPoints</v>
      </c>
      <c r="E30" s="69" t="e">
        <f>MATCH(D30, 'rawdata | iteration analysis'!$1:$1, )</f>
        <v>#N/A</v>
      </c>
    </row>
    <row r="31" spans="1:5" x14ac:dyDescent="0.2">
      <c r="A31" s="86" t="str">
        <f>'Calculated Stats'!B10</f>
        <v>Convergence</v>
      </c>
      <c r="B31" s="53" cm="1">
        <f t="array" ref="B31">IFERROR(INDEX('rawdata | iteration analysis'!$2:$2, E31), 0)</f>
        <v>5.5</v>
      </c>
      <c r="D31" s="69" t="str">
        <f t="shared" si="0"/>
        <v>completedLabels_Convergence_storyPoints</v>
      </c>
      <c r="E31" s="69">
        <f>MATCH(D31, 'rawdata | iteration analysis'!$1:$1, )</f>
        <v>58</v>
      </c>
    </row>
    <row r="32" spans="1:5" x14ac:dyDescent="0.2">
      <c r="A32" s="86" t="str">
        <f>'Calculated Stats'!B11</f>
        <v>Project</v>
      </c>
      <c r="B32" s="53" cm="1">
        <f t="array" ref="B32">IFERROR(INDEX('rawdata | iteration analysis'!$2:$2, E32), 0)</f>
        <v>9.5</v>
      </c>
      <c r="D32" s="69" t="str">
        <f t="shared" si="0"/>
        <v>completedLabels_Project_storyPoints</v>
      </c>
      <c r="E32" s="69">
        <f>MATCH(D32, 'rawdata | iteration analysis'!$1:$1, )</f>
        <v>62</v>
      </c>
    </row>
    <row r="33" spans="1:5" x14ac:dyDescent="0.2">
      <c r="A33" s="86">
        <f>'Calculated Stats'!B12</f>
        <v>5</v>
      </c>
      <c r="B33" s="53" cm="1">
        <f t="array" ref="B33">IFERROR(INDEX('rawdata | iteration analysis'!$2:$2, E33), 0)</f>
        <v>0</v>
      </c>
      <c r="D33" s="69" t="str">
        <f t="shared" si="0"/>
        <v>completedLabels_5_storyPoints</v>
      </c>
      <c r="E33" s="69" t="e">
        <f>MATCH(D33, 'rawdata | iteration analysis'!$1:$1, )</f>
        <v>#N/A</v>
      </c>
    </row>
    <row r="34" spans="1:5" x14ac:dyDescent="0.2">
      <c r="A34" s="86">
        <f>'Calculated Stats'!B13</f>
        <v>6</v>
      </c>
      <c r="B34" s="53" cm="1">
        <f t="array" ref="B34">IFERROR(INDEX('rawdata | iteration analysis'!$2:$2, E34), 0)</f>
        <v>0</v>
      </c>
      <c r="D34" s="69" t="str">
        <f t="shared" si="0"/>
        <v>completedLabels_6_storyPoints</v>
      </c>
      <c r="E34" s="69" t="e">
        <f>MATCH(D34, 'rawdata | iteration analysis'!$1:$1, )</f>
        <v>#N/A</v>
      </c>
    </row>
    <row r="35" spans="1:5" x14ac:dyDescent="0.2">
      <c r="A35" s="86">
        <f>'Calculated Stats'!B14</f>
        <v>7</v>
      </c>
      <c r="B35" s="53" cm="1">
        <f t="array" ref="B35">IFERROR(INDEX('rawdata | iteration analysis'!$2:$2, E35), 0)</f>
        <v>0</v>
      </c>
      <c r="D35" s="69" t="str">
        <f t="shared" si="0"/>
        <v>completedLabels_7_storyPoints</v>
      </c>
      <c r="E35" s="69" t="e">
        <f>MATCH(D35, 'rawdata | iteration analysis'!$1:$1, )</f>
        <v>#N/A</v>
      </c>
    </row>
    <row r="36" spans="1:5" x14ac:dyDescent="0.2">
      <c r="A36" s="86">
        <f>'Calculated Stats'!B15</f>
        <v>8</v>
      </c>
      <c r="B36" s="53" cm="1">
        <f t="array" ref="B36">IFERROR(INDEX('rawdata | iteration analysis'!$2:$2, E36), 0)</f>
        <v>0</v>
      </c>
      <c r="D36" s="69" t="str">
        <f t="shared" si="0"/>
        <v>completedLabels_8_storyPoints</v>
      </c>
      <c r="E36" s="69" t="e">
        <f>MATCH(D36, 'rawdata | iteration analysis'!$1:$1, )</f>
        <v>#N/A</v>
      </c>
    </row>
    <row r="37" spans="1:5" x14ac:dyDescent="0.2">
      <c r="A37" s="86">
        <f>'Calculated Stats'!B16</f>
        <v>9</v>
      </c>
      <c r="B37" s="53" cm="1">
        <f t="array" ref="B37">IFERROR(INDEX('rawdata | iteration analysis'!$2:$2, E37), 0)</f>
        <v>0</v>
      </c>
      <c r="D37" s="69" t="str">
        <f t="shared" si="0"/>
        <v>completedLabels_9_storyPoints</v>
      </c>
      <c r="E37" s="69" t="e">
        <f>MATCH(D37, 'rawdata | iteration analysis'!$1:$1, )</f>
        <v>#N/A</v>
      </c>
    </row>
    <row r="38" spans="1:5" x14ac:dyDescent="0.2">
      <c r="A38" s="86">
        <f>'Calculated Stats'!B17</f>
        <v>10</v>
      </c>
      <c r="B38" s="53" cm="1">
        <f t="array" ref="B38">IFERROR(INDEX('rawdata | iteration analysis'!$2:$2, E38), 0)</f>
        <v>0</v>
      </c>
      <c r="D38" s="69" t="str">
        <f t="shared" si="0"/>
        <v>completedLabels_10_storyPoints</v>
      </c>
      <c r="E38" s="69" t="e">
        <f>MATCH(D38, 'rawdata | iteration analysis'!$1:$1, )</f>
        <v>#N/A</v>
      </c>
    </row>
    <row r="39" spans="1:5" x14ac:dyDescent="0.2">
      <c r="D39"/>
      <c r="E39"/>
    </row>
    <row r="40" spans="1:5" s="2" customFormat="1" x14ac:dyDescent="0.2">
      <c r="A40" s="55" t="s">
        <v>191</v>
      </c>
      <c r="B40" s="88"/>
      <c r="C40" s="70"/>
      <c r="D40" s="94" t="s">
        <v>189</v>
      </c>
      <c r="E40" s="94" t="s">
        <v>190</v>
      </c>
    </row>
    <row r="41" spans="1:5" x14ac:dyDescent="0.2">
      <c r="A41" s="89" t="str">
        <f>'Calculated Stats'!C8</f>
        <v>Architecture</v>
      </c>
      <c r="B41" s="90" cm="1">
        <f t="array" ref="B41">IFERROR(INDEX('rawdata | iteration analysis'!$2:$2, E41), 0)</f>
        <v>24</v>
      </c>
      <c r="D41" s="69" t="str">
        <f t="shared" ref="D41:D50" si="1">_xlfn.CONCAT("components_", A41,"_",D$15)</f>
        <v>components_Architecture_storyPoints</v>
      </c>
      <c r="E41" s="69">
        <f>MATCH(D41, 'rawdata | iteration analysis'!$1:$1, )</f>
        <v>50</v>
      </c>
    </row>
    <row r="42" spans="1:5" x14ac:dyDescent="0.2">
      <c r="A42" s="89" t="str">
        <f>'Calculated Stats'!C9</f>
        <v>Cloud</v>
      </c>
      <c r="B42" s="90" cm="1">
        <f t="array" ref="B42">IFERROR(INDEX('rawdata | iteration analysis'!$2:$2, E42), 0)</f>
        <v>28.5</v>
      </c>
      <c r="D42" s="69" t="str">
        <f t="shared" si="1"/>
        <v>components_Cloud_storyPoints</v>
      </c>
      <c r="E42" s="69">
        <f>MATCH(D42, 'rawdata | iteration analysis'!$1:$1, )</f>
        <v>48</v>
      </c>
    </row>
    <row r="43" spans="1:5" x14ac:dyDescent="0.2">
      <c r="A43" s="89" t="str">
        <f>'Calculated Stats'!C10</f>
        <v>Dataverse</v>
      </c>
      <c r="B43" s="90" cm="1">
        <f t="array" ref="B43">IFERROR(INDEX('rawdata | iteration analysis'!$2:$2, E43), 0)</f>
        <v>24</v>
      </c>
      <c r="D43" s="69" t="str">
        <f t="shared" si="1"/>
        <v>components_Dataverse_storyPoints</v>
      </c>
      <c r="E43" s="69">
        <f>MATCH(D43, 'rawdata | iteration analysis'!$1:$1, )</f>
        <v>46</v>
      </c>
    </row>
    <row r="44" spans="1:5" x14ac:dyDescent="0.2">
      <c r="A44" s="89">
        <f>'Calculated Stats'!C11</f>
        <v>0</v>
      </c>
      <c r="B44" s="90" cm="1">
        <f t="array" ref="B44">IFERROR(INDEX('rawdata | iteration analysis'!$2:$2, E44), 0)</f>
        <v>0</v>
      </c>
      <c r="D44" s="69" t="str">
        <f t="shared" si="1"/>
        <v>components_0_storyPoints</v>
      </c>
      <c r="E44" s="69" t="e">
        <f>MATCH(D44, 'rawdata | iteration analysis'!$1:$1, )</f>
        <v>#N/A</v>
      </c>
    </row>
    <row r="45" spans="1:5" x14ac:dyDescent="0.2">
      <c r="A45" s="89">
        <f>'Calculated Stats'!C12</f>
        <v>5</v>
      </c>
      <c r="B45" s="90" cm="1">
        <f t="array" ref="B45">IFERROR(INDEX('rawdata | iteration analysis'!$2:$2, E45), 0)</f>
        <v>0</v>
      </c>
      <c r="D45" s="69" t="str">
        <f t="shared" si="1"/>
        <v>components_5_storyPoints</v>
      </c>
      <c r="E45" s="69" t="e">
        <f>MATCH(D45, 'rawdata | iteration analysis'!$1:$1, )</f>
        <v>#N/A</v>
      </c>
    </row>
    <row r="46" spans="1:5" x14ac:dyDescent="0.2">
      <c r="A46" s="89">
        <f>'Calculated Stats'!C13</f>
        <v>6</v>
      </c>
      <c r="B46" s="90" cm="1">
        <f t="array" ref="B46">IFERROR(INDEX('rawdata | iteration analysis'!$2:$2, E46), 0)</f>
        <v>0</v>
      </c>
      <c r="D46" s="69" t="str">
        <f t="shared" si="1"/>
        <v>components_6_storyPoints</v>
      </c>
      <c r="E46" s="69" t="e">
        <f>MATCH(D46, 'rawdata | iteration analysis'!$1:$1, )</f>
        <v>#N/A</v>
      </c>
    </row>
    <row r="47" spans="1:5" x14ac:dyDescent="0.2">
      <c r="A47" s="89">
        <f>'Calculated Stats'!C14</f>
        <v>7</v>
      </c>
      <c r="B47" s="90" cm="1">
        <f t="array" ref="B47">IFERROR(INDEX('rawdata | iteration analysis'!$2:$2, E47), 0)</f>
        <v>0</v>
      </c>
      <c r="D47" s="69" t="str">
        <f t="shared" si="1"/>
        <v>components_7_storyPoints</v>
      </c>
      <c r="E47" s="69" t="e">
        <f>MATCH(D47, 'rawdata | iteration analysis'!$1:$1, )</f>
        <v>#N/A</v>
      </c>
    </row>
    <row r="48" spans="1:5" x14ac:dyDescent="0.2">
      <c r="A48" s="89">
        <f>'Calculated Stats'!C15</f>
        <v>8</v>
      </c>
      <c r="B48" s="90" cm="1">
        <f t="array" ref="B48">IFERROR(INDEX('rawdata | iteration analysis'!$2:$2, E48), 0)</f>
        <v>0</v>
      </c>
      <c r="D48" s="69" t="str">
        <f t="shared" si="1"/>
        <v>components_8_storyPoints</v>
      </c>
      <c r="E48" s="69" t="e">
        <f>MATCH(D48, 'rawdata | iteration analysis'!$1:$1, )</f>
        <v>#N/A</v>
      </c>
    </row>
    <row r="49" spans="1:6" x14ac:dyDescent="0.2">
      <c r="A49" s="89">
        <f>'Calculated Stats'!C16</f>
        <v>9</v>
      </c>
      <c r="B49" s="90" cm="1">
        <f t="array" ref="B49">IFERROR(INDEX('rawdata | iteration analysis'!$2:$2, E49), 0)</f>
        <v>0</v>
      </c>
      <c r="D49" s="69" t="str">
        <f t="shared" si="1"/>
        <v>components_9_storyPoints</v>
      </c>
      <c r="E49" s="69" t="e">
        <f>MATCH(D49, 'rawdata | iteration analysis'!$1:$1, )</f>
        <v>#N/A</v>
      </c>
    </row>
    <row r="50" spans="1:6" x14ac:dyDescent="0.2">
      <c r="A50" s="89">
        <f>'Calculated Stats'!C17</f>
        <v>10</v>
      </c>
      <c r="B50" s="90" cm="1">
        <f t="array" ref="B50">IFERROR(INDEX('rawdata | iteration analysis'!$2:$2, E50), 0)</f>
        <v>0</v>
      </c>
      <c r="D50" s="69" t="str">
        <f t="shared" si="1"/>
        <v>components_10_storyPoints</v>
      </c>
      <c r="E50" s="69" t="e">
        <f>MATCH(D50, 'rawdata | iteration analysis'!$1:$1, )</f>
        <v>#N/A</v>
      </c>
    </row>
    <row r="51" spans="1:6" x14ac:dyDescent="0.2">
      <c r="A51" s="1"/>
      <c r="D51"/>
      <c r="E51"/>
    </row>
    <row r="52" spans="1:6" s="2" customFormat="1" x14ac:dyDescent="0.2">
      <c r="A52" s="55" t="s">
        <v>207</v>
      </c>
      <c r="B52" s="88"/>
      <c r="C52" s="70"/>
      <c r="D52" s="94" t="s">
        <v>189</v>
      </c>
      <c r="E52" s="94" t="s">
        <v>190</v>
      </c>
    </row>
    <row r="53" spans="1:6" x14ac:dyDescent="0.2">
      <c r="A53" s="89" t="str">
        <f>'Calculated Stats'!C8</f>
        <v>Architecture</v>
      </c>
      <c r="B53" s="90" cm="1">
        <f t="array" ref="B53">IFERROR(INDEX('rawdata | iteration analysis'!$2:$2, E53), 0)</f>
        <v>0</v>
      </c>
      <c r="D53" s="69" t="str">
        <f t="shared" ref="D53:D62" si="2">_xlfn.CONCAT("completedComponents_", A53,"_",D$15)</f>
        <v>completedComponents_Architecture_storyPoints</v>
      </c>
      <c r="E53" s="69" t="e">
        <f>MATCH(D53, 'rawdata | iteration analysis'!$1:$1, )</f>
        <v>#N/A</v>
      </c>
    </row>
    <row r="54" spans="1:6" x14ac:dyDescent="0.2">
      <c r="A54" s="89" t="str">
        <f>'Calculated Stats'!C9</f>
        <v>Cloud</v>
      </c>
      <c r="B54" s="90" cm="1">
        <f t="array" ref="B54">IFERROR(INDEX('rawdata | iteration analysis'!$2:$2, E54), 0)</f>
        <v>9</v>
      </c>
      <c r="D54" s="69" t="str">
        <f t="shared" si="2"/>
        <v>completedComponents_Cloud_storyPoints</v>
      </c>
      <c r="E54" s="69">
        <f>MATCH(D54, 'rawdata | iteration analysis'!$1:$1, )</f>
        <v>76</v>
      </c>
    </row>
    <row r="55" spans="1:6" x14ac:dyDescent="0.2">
      <c r="A55" s="89" t="str">
        <f>'Calculated Stats'!C10</f>
        <v>Dataverse</v>
      </c>
      <c r="B55" s="90" cm="1">
        <f t="array" ref="B55">IFERROR(INDEX('rawdata | iteration analysis'!$2:$2, E55), 0)</f>
        <v>14.5</v>
      </c>
      <c r="D55" s="69" t="str">
        <f t="shared" si="2"/>
        <v>completedComponents_Dataverse_storyPoints</v>
      </c>
      <c r="E55" s="69">
        <f>MATCH(D55, 'rawdata | iteration analysis'!$1:$1, )</f>
        <v>74</v>
      </c>
    </row>
    <row r="56" spans="1:6" x14ac:dyDescent="0.2">
      <c r="A56" s="89">
        <f>'Calculated Stats'!C11</f>
        <v>0</v>
      </c>
      <c r="B56" s="90" cm="1">
        <f t="array" ref="B56">IFERROR(INDEX('rawdata | iteration analysis'!$2:$2, E56), 0)</f>
        <v>0</v>
      </c>
      <c r="D56" s="69" t="str">
        <f t="shared" si="2"/>
        <v>completedComponents_0_storyPoints</v>
      </c>
      <c r="E56" s="69" t="e">
        <f>MATCH(D56, 'rawdata | iteration analysis'!$1:$1, )</f>
        <v>#N/A</v>
      </c>
    </row>
    <row r="57" spans="1:6" x14ac:dyDescent="0.2">
      <c r="A57" s="89">
        <f>'Calculated Stats'!C12</f>
        <v>5</v>
      </c>
      <c r="B57" s="90" cm="1">
        <f t="array" ref="B57">IFERROR(INDEX('rawdata | iteration analysis'!$2:$2, E57), 0)</f>
        <v>0</v>
      </c>
      <c r="D57" s="69" t="str">
        <f t="shared" si="2"/>
        <v>completedComponents_5_storyPoints</v>
      </c>
      <c r="E57" s="69" t="e">
        <f>MATCH(D57, 'rawdata | iteration analysis'!$1:$1, )</f>
        <v>#N/A</v>
      </c>
    </row>
    <row r="58" spans="1:6" x14ac:dyDescent="0.2">
      <c r="A58" s="89">
        <f>'Calculated Stats'!C13</f>
        <v>6</v>
      </c>
      <c r="B58" s="90" cm="1">
        <f t="array" ref="B58">IFERROR(INDEX('rawdata | iteration analysis'!$2:$2, E58), 0)</f>
        <v>0</v>
      </c>
      <c r="D58" s="69" t="str">
        <f t="shared" si="2"/>
        <v>completedComponents_6_storyPoints</v>
      </c>
      <c r="E58" s="69" t="e">
        <f>MATCH(D58, 'rawdata | iteration analysis'!$1:$1, )</f>
        <v>#N/A</v>
      </c>
    </row>
    <row r="59" spans="1:6" x14ac:dyDescent="0.2">
      <c r="A59" s="89">
        <f>'Calculated Stats'!C14</f>
        <v>7</v>
      </c>
      <c r="B59" s="90" cm="1">
        <f t="array" ref="B59">IFERROR(INDEX('rawdata | iteration analysis'!$2:$2, E59), 0)</f>
        <v>0</v>
      </c>
      <c r="D59" s="69" t="str">
        <f t="shared" si="2"/>
        <v>completedComponents_7_storyPoints</v>
      </c>
      <c r="E59" s="69" t="e">
        <f>MATCH(D59, 'rawdata | iteration analysis'!$1:$1, )</f>
        <v>#N/A</v>
      </c>
    </row>
    <row r="60" spans="1:6" x14ac:dyDescent="0.2">
      <c r="A60" s="89">
        <f>'Calculated Stats'!C15</f>
        <v>8</v>
      </c>
      <c r="B60" s="90" cm="1">
        <f t="array" ref="B60">IFERROR(INDEX('rawdata | iteration analysis'!$2:$2, E60), 0)</f>
        <v>0</v>
      </c>
      <c r="D60" s="69" t="str">
        <f t="shared" si="2"/>
        <v>completedComponents_8_storyPoints</v>
      </c>
      <c r="E60" s="69" t="e">
        <f>MATCH(D60, 'rawdata | iteration analysis'!$1:$1, )</f>
        <v>#N/A</v>
      </c>
    </row>
    <row r="61" spans="1:6" x14ac:dyDescent="0.2">
      <c r="A61" s="89">
        <f>'Calculated Stats'!C16</f>
        <v>9</v>
      </c>
      <c r="B61" s="90" cm="1">
        <f t="array" ref="B61">IFERROR(INDEX('rawdata | iteration analysis'!$2:$2, E61), 0)</f>
        <v>0</v>
      </c>
      <c r="D61" s="69" t="str">
        <f t="shared" si="2"/>
        <v>completedComponents_9_storyPoints</v>
      </c>
      <c r="E61" s="69" t="e">
        <f>MATCH(D61, 'rawdata | iteration analysis'!$1:$1, )</f>
        <v>#N/A</v>
      </c>
    </row>
    <row r="62" spans="1:6" x14ac:dyDescent="0.2">
      <c r="A62" s="89">
        <f>'Calculated Stats'!C17</f>
        <v>10</v>
      </c>
      <c r="B62" s="90" cm="1">
        <f t="array" ref="B62">IFERROR(INDEX('rawdata | iteration analysis'!$2:$2, E62), 0)</f>
        <v>0</v>
      </c>
      <c r="D62" s="69" t="str">
        <f t="shared" si="2"/>
        <v>completedComponents_10_storyPoints</v>
      </c>
      <c r="E62" s="69" t="e">
        <f>MATCH(D62, 'rawdata | iteration analysis'!$1:$1, )</f>
        <v>#N/A</v>
      </c>
    </row>
    <row r="63" spans="1:6" x14ac:dyDescent="0.2">
      <c r="A63" s="1"/>
      <c r="D63" s="68"/>
      <c r="E63" s="68"/>
      <c r="F63" s="68"/>
    </row>
    <row r="64" spans="1:6" x14ac:dyDescent="0.2">
      <c r="D64" s="68"/>
      <c r="E64" s="68"/>
      <c r="F64" s="68"/>
    </row>
    <row r="65" spans="1:6" x14ac:dyDescent="0.2">
      <c r="D65" s="68"/>
      <c r="E65" s="68"/>
      <c r="F65" s="68"/>
    </row>
    <row r="66" spans="1:6" ht="39.5" customHeight="1" x14ac:dyDescent="0.2">
      <c r="A66" s="99" t="s">
        <v>205</v>
      </c>
      <c r="B66" s="99"/>
      <c r="C66" s="99"/>
      <c r="D66" s="99" t="s">
        <v>208</v>
      </c>
      <c r="E66" s="99"/>
      <c r="F66" s="99"/>
    </row>
    <row r="67" spans="1:6" s="2" customFormat="1" x14ac:dyDescent="0.2">
      <c r="A67" s="9" t="s">
        <v>188</v>
      </c>
      <c r="B67" s="9" t="s">
        <v>94</v>
      </c>
      <c r="C67" s="70"/>
      <c r="D67" s="94" t="s">
        <v>189</v>
      </c>
      <c r="E67" s="94" t="s">
        <v>190</v>
      </c>
    </row>
    <row r="68" spans="1:6" x14ac:dyDescent="0.2">
      <c r="A68" s="86" t="str">
        <f>'Calculated Stats'!B8</f>
        <v>BAU</v>
      </c>
      <c r="B68" s="53" cm="1">
        <f t="array" ref="B68">IFERROR(INDEX('rawdata | iteration analysis'!$2:$2, E68), 0)</f>
        <v>20</v>
      </c>
      <c r="D68" s="69" t="str">
        <f>_xlfn.CONCAT("labels_", A68,"_",D$66)</f>
        <v>labels_BAU_count</v>
      </c>
      <c r="E68" s="69">
        <f>MATCH(D68, 'rawdata | iteration analysis'!$1:$1, )</f>
        <v>21</v>
      </c>
    </row>
    <row r="69" spans="1:6" x14ac:dyDescent="0.2">
      <c r="A69" s="86" t="str">
        <f>'Calculated Stats'!B9</f>
        <v>Improvement</v>
      </c>
      <c r="B69" s="53" cm="1">
        <f t="array" ref="B69">IFERROR(INDEX('rawdata | iteration analysis'!$2:$2, E69), 0)</f>
        <v>0</v>
      </c>
      <c r="D69" s="69" t="str">
        <f>_xlfn.CONCAT("labels_", A69,"_",D$66)</f>
        <v>labels_Improvement_count</v>
      </c>
      <c r="E69" s="69" t="e">
        <f>MATCH(D69, 'rawdata | iteration analysis'!$1:$1, )</f>
        <v>#N/A</v>
      </c>
    </row>
    <row r="70" spans="1:6" x14ac:dyDescent="0.2">
      <c r="A70" s="86" t="str">
        <f>'Calculated Stats'!B10</f>
        <v>Convergence</v>
      </c>
      <c r="B70" s="53" cm="1">
        <f t="array" ref="B70">IFERROR(INDEX('rawdata | iteration analysis'!$2:$2, E70), 0)</f>
        <v>14</v>
      </c>
      <c r="D70" s="69" t="str">
        <f>_xlfn.CONCAT("labels_", A70,"_",D$66)</f>
        <v>labels_Convergence_count</v>
      </c>
      <c r="E70" s="69">
        <f>MATCH(D70, 'rawdata | iteration analysis'!$1:$1, )</f>
        <v>25</v>
      </c>
    </row>
    <row r="71" spans="1:6" x14ac:dyDescent="0.2">
      <c r="A71" s="86" t="str">
        <f>'Calculated Stats'!B11</f>
        <v>Project</v>
      </c>
      <c r="B71" s="53" cm="1">
        <f t="array" ref="B71">IFERROR(INDEX('rawdata | iteration analysis'!$2:$2, E71), 0)</f>
        <v>30</v>
      </c>
      <c r="D71" s="69" t="str">
        <f>_xlfn.CONCAT("labels_", A71, "_",D$66)</f>
        <v>labels_Project_count</v>
      </c>
      <c r="E71" s="69">
        <f>MATCH(D71, 'rawdata | iteration analysis'!$1:$1, )</f>
        <v>29</v>
      </c>
    </row>
    <row r="72" spans="1:6" x14ac:dyDescent="0.2">
      <c r="A72" s="86">
        <f>'Calculated Stats'!B12</f>
        <v>5</v>
      </c>
      <c r="B72" s="53" cm="1">
        <f t="array" ref="B72">IFERROR(INDEX('rawdata | iteration analysis'!$2:$2, E72), 0)</f>
        <v>0</v>
      </c>
      <c r="D72" s="69" t="str">
        <f>_xlfn.CONCAT("labels_", A72,"_",D$66)</f>
        <v>labels_5_count</v>
      </c>
      <c r="E72" s="69" t="e">
        <f>MATCH(D72, 'rawdata | iteration analysis'!$1:$1, )</f>
        <v>#N/A</v>
      </c>
    </row>
    <row r="73" spans="1:6" x14ac:dyDescent="0.2">
      <c r="A73" s="86">
        <f>'Calculated Stats'!B13</f>
        <v>6</v>
      </c>
      <c r="B73" s="53" cm="1">
        <f t="array" ref="B73">IFERROR(INDEX('rawdata | iteration analysis'!$2:$2, E73), 0)</f>
        <v>0</v>
      </c>
      <c r="D73" s="69" t="str">
        <f>_xlfn.CONCAT("labels_", A73, "_",D$66)</f>
        <v>labels_6_count</v>
      </c>
      <c r="E73" s="69" t="e">
        <f>MATCH(D73, 'rawdata | iteration analysis'!$1:$1, )</f>
        <v>#N/A</v>
      </c>
    </row>
    <row r="74" spans="1:6" x14ac:dyDescent="0.2">
      <c r="A74" s="86">
        <f>'Calculated Stats'!B14</f>
        <v>7</v>
      </c>
      <c r="B74" s="53" cm="1">
        <f t="array" ref="B74">IFERROR(INDEX('rawdata | iteration analysis'!$2:$2, E74), 0)</f>
        <v>0</v>
      </c>
      <c r="D74" s="69" t="str">
        <f>_xlfn.CONCAT("labels_", A74,"_",D$66)</f>
        <v>labels_7_count</v>
      </c>
      <c r="E74" s="69" t="e">
        <f>MATCH(D74, 'rawdata | iteration analysis'!$1:$1, )</f>
        <v>#N/A</v>
      </c>
    </row>
    <row r="75" spans="1:6" x14ac:dyDescent="0.2">
      <c r="A75" s="86">
        <f>'Calculated Stats'!B15</f>
        <v>8</v>
      </c>
      <c r="B75" s="53" cm="1">
        <f t="array" ref="B75">IFERROR(INDEX('rawdata | iteration analysis'!$2:$2, E75), 0)</f>
        <v>0</v>
      </c>
      <c r="D75" s="69" t="str">
        <f>_xlfn.CONCAT("labels_", A75,"_",D$66)</f>
        <v>labels_8_count</v>
      </c>
      <c r="E75" s="69" t="e">
        <f>MATCH(D75, 'rawdata | iteration analysis'!$1:$1, )</f>
        <v>#N/A</v>
      </c>
    </row>
    <row r="76" spans="1:6" x14ac:dyDescent="0.2">
      <c r="A76" s="86">
        <f>'Calculated Stats'!B16</f>
        <v>9</v>
      </c>
      <c r="B76" s="53" cm="1">
        <f t="array" ref="B76">IFERROR(INDEX('rawdata | iteration analysis'!$2:$2, E76), 0)</f>
        <v>0</v>
      </c>
      <c r="D76" s="69" t="str">
        <f>_xlfn.CONCAT("labels_", A76,"_",D$66)</f>
        <v>labels_9_count</v>
      </c>
      <c r="E76" s="69" t="e">
        <f>MATCH(D76, 'rawdata | iteration analysis'!$1:$1, )</f>
        <v>#N/A</v>
      </c>
    </row>
    <row r="77" spans="1:6" x14ac:dyDescent="0.2">
      <c r="A77" s="86">
        <f>'Calculated Stats'!B17</f>
        <v>10</v>
      </c>
      <c r="B77" s="53" cm="1">
        <f t="array" ref="B77">IFERROR(INDEX('rawdata | iteration analysis'!$2:$2, E77), 0)</f>
        <v>0</v>
      </c>
      <c r="D77" s="69" t="str">
        <f>_xlfn.CONCAT("labels_", A77,"_",D$66)</f>
        <v>labels_10_count</v>
      </c>
      <c r="E77" s="69" t="e">
        <f>MATCH(D77, 'rawdata | iteration analysis'!$1:$1, )</f>
        <v>#N/A</v>
      </c>
    </row>
    <row r="78" spans="1:6" x14ac:dyDescent="0.2">
      <c r="D78" s="68"/>
      <c r="E78" s="68"/>
    </row>
    <row r="79" spans="1:6" s="2" customFormat="1" x14ac:dyDescent="0.2">
      <c r="A79" s="9" t="s">
        <v>187</v>
      </c>
      <c r="B79" s="87"/>
      <c r="C79" s="70"/>
      <c r="D79" s="94" t="s">
        <v>189</v>
      </c>
      <c r="E79" s="94" t="s">
        <v>190</v>
      </c>
    </row>
    <row r="80" spans="1:6" x14ac:dyDescent="0.2">
      <c r="A80" s="86" t="str">
        <f>'Calculated Stats'!B8</f>
        <v>BAU</v>
      </c>
      <c r="B80" s="53" cm="1">
        <f t="array" ref="B80">IFERROR(INDEX('rawdata | iteration analysis'!$2:$2, E80), 0)</f>
        <v>9</v>
      </c>
      <c r="D80" s="69" t="str">
        <f t="shared" ref="D80:D89" si="3">_xlfn.CONCAT("completedLabels_", A80,"_",D$66)</f>
        <v>completedLabels_BAU_count</v>
      </c>
      <c r="E80" s="69">
        <f>MATCH(D80, 'rawdata | iteration analysis'!$1:$1, )</f>
        <v>53</v>
      </c>
    </row>
    <row r="81" spans="1:5" x14ac:dyDescent="0.2">
      <c r="A81" s="86" t="str">
        <f>'Calculated Stats'!B9</f>
        <v>Improvement</v>
      </c>
      <c r="B81" s="53" cm="1">
        <f t="array" ref="B81">IFERROR(INDEX('rawdata | iteration analysis'!$2:$2, E81), 0)</f>
        <v>0</v>
      </c>
      <c r="D81" s="69" t="str">
        <f t="shared" si="3"/>
        <v>completedLabels_Improvement_count</v>
      </c>
      <c r="E81" s="69" t="e">
        <f>MATCH(D81, 'rawdata | iteration analysis'!$1:$1, )</f>
        <v>#N/A</v>
      </c>
    </row>
    <row r="82" spans="1:5" x14ac:dyDescent="0.2">
      <c r="A82" s="86" t="str">
        <f>'Calculated Stats'!B10</f>
        <v>Convergence</v>
      </c>
      <c r="B82" s="53" cm="1">
        <f t="array" ref="B82">IFERROR(INDEX('rawdata | iteration analysis'!$2:$2, E82), 0)</f>
        <v>4</v>
      </c>
      <c r="D82" s="69" t="str">
        <f t="shared" si="3"/>
        <v>completedLabels_Convergence_count</v>
      </c>
      <c r="E82" s="69">
        <f>MATCH(D82, 'rawdata | iteration analysis'!$1:$1, )</f>
        <v>57</v>
      </c>
    </row>
    <row r="83" spans="1:5" x14ac:dyDescent="0.2">
      <c r="A83" s="86" t="str">
        <f>'Calculated Stats'!B11</f>
        <v>Project</v>
      </c>
      <c r="B83" s="53" cm="1">
        <f t="array" ref="B83">IFERROR(INDEX('rawdata | iteration analysis'!$2:$2, E83), 0)</f>
        <v>10</v>
      </c>
      <c r="D83" s="69" t="str">
        <f t="shared" si="3"/>
        <v>completedLabels_Project_count</v>
      </c>
      <c r="E83" s="69">
        <f>MATCH(D83, 'rawdata | iteration analysis'!$1:$1, )</f>
        <v>61</v>
      </c>
    </row>
    <row r="84" spans="1:5" x14ac:dyDescent="0.2">
      <c r="A84" s="86">
        <f>'Calculated Stats'!B12</f>
        <v>5</v>
      </c>
      <c r="B84" s="53" cm="1">
        <f t="array" ref="B84">IFERROR(INDEX('rawdata | iteration analysis'!$2:$2, E84), 0)</f>
        <v>0</v>
      </c>
      <c r="D84" s="69" t="str">
        <f t="shared" si="3"/>
        <v>completedLabels_5_count</v>
      </c>
      <c r="E84" s="69" t="e">
        <f>MATCH(D84, 'rawdata | iteration analysis'!$1:$1, )</f>
        <v>#N/A</v>
      </c>
    </row>
    <row r="85" spans="1:5" x14ac:dyDescent="0.2">
      <c r="A85" s="86">
        <f>'Calculated Stats'!B13</f>
        <v>6</v>
      </c>
      <c r="B85" s="53" cm="1">
        <f t="array" ref="B85">IFERROR(INDEX('rawdata | iteration analysis'!$2:$2, E85), 0)</f>
        <v>0</v>
      </c>
      <c r="D85" s="69" t="str">
        <f t="shared" si="3"/>
        <v>completedLabels_6_count</v>
      </c>
      <c r="E85" s="69" t="e">
        <f>MATCH(D85, 'rawdata | iteration analysis'!$1:$1, )</f>
        <v>#N/A</v>
      </c>
    </row>
    <row r="86" spans="1:5" x14ac:dyDescent="0.2">
      <c r="A86" s="86">
        <f>'Calculated Stats'!B14</f>
        <v>7</v>
      </c>
      <c r="B86" s="53" cm="1">
        <f t="array" ref="B86">IFERROR(INDEX('rawdata | iteration analysis'!$2:$2, E86), 0)</f>
        <v>0</v>
      </c>
      <c r="D86" s="69" t="str">
        <f t="shared" si="3"/>
        <v>completedLabels_7_count</v>
      </c>
      <c r="E86" s="69" t="e">
        <f>MATCH(D86, 'rawdata | iteration analysis'!$1:$1, )</f>
        <v>#N/A</v>
      </c>
    </row>
    <row r="87" spans="1:5" x14ac:dyDescent="0.2">
      <c r="A87" s="86">
        <f>'Calculated Stats'!B15</f>
        <v>8</v>
      </c>
      <c r="B87" s="53" cm="1">
        <f t="array" ref="B87">IFERROR(INDEX('rawdata | iteration analysis'!$2:$2, E87), 0)</f>
        <v>0</v>
      </c>
      <c r="D87" s="69" t="str">
        <f t="shared" si="3"/>
        <v>completedLabels_8_count</v>
      </c>
      <c r="E87" s="69" t="e">
        <f>MATCH(D87, 'rawdata | iteration analysis'!$1:$1, )</f>
        <v>#N/A</v>
      </c>
    </row>
    <row r="88" spans="1:5" x14ac:dyDescent="0.2">
      <c r="A88" s="86">
        <f>'Calculated Stats'!B16</f>
        <v>9</v>
      </c>
      <c r="B88" s="53" cm="1">
        <f t="array" ref="B88">IFERROR(INDEX('rawdata | iteration analysis'!$2:$2, E88), 0)</f>
        <v>0</v>
      </c>
      <c r="D88" s="69" t="str">
        <f t="shared" si="3"/>
        <v>completedLabels_9_count</v>
      </c>
      <c r="E88" s="69" t="e">
        <f>MATCH(D88, 'rawdata | iteration analysis'!$1:$1, )</f>
        <v>#N/A</v>
      </c>
    </row>
    <row r="89" spans="1:5" x14ac:dyDescent="0.2">
      <c r="A89" s="86">
        <f>'Calculated Stats'!B17</f>
        <v>10</v>
      </c>
      <c r="B89" s="53" cm="1">
        <f t="array" ref="B89">IFERROR(INDEX('rawdata | iteration analysis'!$2:$2, E89), 0)</f>
        <v>0</v>
      </c>
      <c r="D89" s="69" t="str">
        <f t="shared" si="3"/>
        <v>completedLabels_10_count</v>
      </c>
      <c r="E89" s="69" t="e">
        <f>MATCH(D89, 'rawdata | iteration analysis'!$1:$1, )</f>
        <v>#N/A</v>
      </c>
    </row>
    <row r="90" spans="1:5" x14ac:dyDescent="0.2">
      <c r="D90"/>
      <c r="E90"/>
    </row>
    <row r="91" spans="1:5" s="2" customFormat="1" x14ac:dyDescent="0.2">
      <c r="A91" s="55" t="s">
        <v>191</v>
      </c>
      <c r="B91" s="88"/>
      <c r="C91" s="70"/>
      <c r="D91" s="94" t="s">
        <v>189</v>
      </c>
      <c r="E91" s="94" t="s">
        <v>190</v>
      </c>
    </row>
    <row r="92" spans="1:5" x14ac:dyDescent="0.2">
      <c r="A92" s="89" t="str">
        <f>'Calculated Stats'!C8</f>
        <v>Architecture</v>
      </c>
      <c r="B92" s="90" cm="1">
        <f t="array" ref="B92">IFERROR(INDEX('rawdata | iteration analysis'!$2:$2, E92), 0)</f>
        <v>16</v>
      </c>
      <c r="D92" s="69" t="str">
        <f t="shared" ref="D92:D101" si="4">_xlfn.CONCAT("components_", A92,"_",D$66)</f>
        <v>components_Architecture_count</v>
      </c>
      <c r="E92" s="69">
        <f>MATCH(D92, 'rawdata | iteration analysis'!$1:$1, )</f>
        <v>49</v>
      </c>
    </row>
    <row r="93" spans="1:5" x14ac:dyDescent="0.2">
      <c r="A93" s="89" t="str">
        <f>'Calculated Stats'!C9</f>
        <v>Cloud</v>
      </c>
      <c r="B93" s="90" cm="1">
        <f t="array" ref="B93">IFERROR(INDEX('rawdata | iteration analysis'!$2:$2, E93), 0)</f>
        <v>24</v>
      </c>
      <c r="D93" s="69" t="str">
        <f t="shared" si="4"/>
        <v>components_Cloud_count</v>
      </c>
      <c r="E93" s="69">
        <f>MATCH(D93, 'rawdata | iteration analysis'!$1:$1, )</f>
        <v>47</v>
      </c>
    </row>
    <row r="94" spans="1:5" x14ac:dyDescent="0.2">
      <c r="A94" s="89" t="str">
        <f>'Calculated Stats'!C10</f>
        <v>Dataverse</v>
      </c>
      <c r="B94" s="90" cm="1">
        <f t="array" ref="B94">IFERROR(INDEX('rawdata | iteration analysis'!$2:$2, E94), 0)</f>
        <v>23</v>
      </c>
      <c r="D94" s="69" t="str">
        <f t="shared" si="4"/>
        <v>components_Dataverse_count</v>
      </c>
      <c r="E94" s="69">
        <f>MATCH(D94, 'rawdata | iteration analysis'!$1:$1, )</f>
        <v>45</v>
      </c>
    </row>
    <row r="95" spans="1:5" x14ac:dyDescent="0.2">
      <c r="A95" s="89">
        <f>'Calculated Stats'!C11</f>
        <v>0</v>
      </c>
      <c r="B95" s="90" cm="1">
        <f t="array" ref="B95">IFERROR(INDEX('rawdata | iteration analysis'!$2:$2, E95), 0)</f>
        <v>0</v>
      </c>
      <c r="D95" s="69" t="str">
        <f t="shared" si="4"/>
        <v>components_0_count</v>
      </c>
      <c r="E95" s="69" t="e">
        <f>MATCH(D95, 'rawdata | iteration analysis'!$1:$1, )</f>
        <v>#N/A</v>
      </c>
    </row>
    <row r="96" spans="1:5" x14ac:dyDescent="0.2">
      <c r="A96" s="89">
        <f>'Calculated Stats'!C12</f>
        <v>5</v>
      </c>
      <c r="B96" s="90" cm="1">
        <f t="array" ref="B96">IFERROR(INDEX('rawdata | iteration analysis'!$2:$2, E96), 0)</f>
        <v>0</v>
      </c>
      <c r="D96" s="69" t="str">
        <f t="shared" si="4"/>
        <v>components_5_count</v>
      </c>
      <c r="E96" s="69" t="e">
        <f>MATCH(D96, 'rawdata | iteration analysis'!$1:$1, )</f>
        <v>#N/A</v>
      </c>
    </row>
    <row r="97" spans="1:5" x14ac:dyDescent="0.2">
      <c r="A97" s="89">
        <f>'Calculated Stats'!C13</f>
        <v>6</v>
      </c>
      <c r="B97" s="90" cm="1">
        <f t="array" ref="B97">IFERROR(INDEX('rawdata | iteration analysis'!$2:$2, E97), 0)</f>
        <v>0</v>
      </c>
      <c r="D97" s="69" t="str">
        <f t="shared" si="4"/>
        <v>components_6_count</v>
      </c>
      <c r="E97" s="69" t="e">
        <f>MATCH(D97, 'rawdata | iteration analysis'!$1:$1, )</f>
        <v>#N/A</v>
      </c>
    </row>
    <row r="98" spans="1:5" x14ac:dyDescent="0.2">
      <c r="A98" s="89">
        <f>'Calculated Stats'!C14</f>
        <v>7</v>
      </c>
      <c r="B98" s="90" cm="1">
        <f t="array" ref="B98">IFERROR(INDEX('rawdata | iteration analysis'!$2:$2, E98), 0)</f>
        <v>0</v>
      </c>
      <c r="D98" s="69" t="str">
        <f t="shared" si="4"/>
        <v>components_7_count</v>
      </c>
      <c r="E98" s="69" t="e">
        <f>MATCH(D98, 'rawdata | iteration analysis'!$1:$1, )</f>
        <v>#N/A</v>
      </c>
    </row>
    <row r="99" spans="1:5" x14ac:dyDescent="0.2">
      <c r="A99" s="89">
        <f>'Calculated Stats'!C15</f>
        <v>8</v>
      </c>
      <c r="B99" s="90" cm="1">
        <f t="array" ref="B99">IFERROR(INDEX('rawdata | iteration analysis'!$2:$2, E99), 0)</f>
        <v>0</v>
      </c>
      <c r="D99" s="69" t="str">
        <f t="shared" si="4"/>
        <v>components_8_count</v>
      </c>
      <c r="E99" s="69" t="e">
        <f>MATCH(D99, 'rawdata | iteration analysis'!$1:$1, )</f>
        <v>#N/A</v>
      </c>
    </row>
    <row r="100" spans="1:5" x14ac:dyDescent="0.2">
      <c r="A100" s="89">
        <f>'Calculated Stats'!C16</f>
        <v>9</v>
      </c>
      <c r="B100" s="90" cm="1">
        <f t="array" ref="B100">IFERROR(INDEX('rawdata | iteration analysis'!$2:$2, E100), 0)</f>
        <v>0</v>
      </c>
      <c r="D100" s="69" t="str">
        <f t="shared" si="4"/>
        <v>components_9_count</v>
      </c>
      <c r="E100" s="69" t="e">
        <f>MATCH(D100, 'rawdata | iteration analysis'!$1:$1, )</f>
        <v>#N/A</v>
      </c>
    </row>
    <row r="101" spans="1:5" x14ac:dyDescent="0.2">
      <c r="A101" s="89">
        <f>'Calculated Stats'!C17</f>
        <v>10</v>
      </c>
      <c r="B101" s="90" cm="1">
        <f t="array" ref="B101">IFERROR(INDEX('rawdata | iteration analysis'!$2:$2, E101), 0)</f>
        <v>0</v>
      </c>
      <c r="D101" s="69" t="str">
        <f t="shared" si="4"/>
        <v>components_10_count</v>
      </c>
      <c r="E101" s="69" t="e">
        <f>MATCH(D101, 'rawdata | iteration analysis'!$1:$1, )</f>
        <v>#N/A</v>
      </c>
    </row>
    <row r="102" spans="1:5" x14ac:dyDescent="0.2">
      <c r="A102" s="1"/>
      <c r="D102"/>
      <c r="E102"/>
    </row>
    <row r="103" spans="1:5" s="2" customFormat="1" x14ac:dyDescent="0.2">
      <c r="A103" s="55" t="s">
        <v>207</v>
      </c>
      <c r="B103" s="88"/>
      <c r="C103" s="70"/>
      <c r="D103" s="94" t="s">
        <v>189</v>
      </c>
      <c r="E103" s="94" t="s">
        <v>190</v>
      </c>
    </row>
    <row r="104" spans="1:5" x14ac:dyDescent="0.2">
      <c r="A104" s="89" t="str">
        <f>'Calculated Stats'!C8</f>
        <v>Architecture</v>
      </c>
      <c r="B104" s="90" cm="1">
        <f t="array" ref="B104">IFERROR(INDEX('rawdata | iteration analysis'!$2:$2, E104), 0)</f>
        <v>0</v>
      </c>
      <c r="D104" s="69" t="str">
        <f t="shared" ref="D104:D113" si="5">_xlfn.CONCAT("completedComponents_", A104,"_",D$66)</f>
        <v>completedComponents_Architecture_count</v>
      </c>
      <c r="E104" s="69" t="e">
        <f>MATCH(D104, 'rawdata | iteration analysis'!$1:$1, )</f>
        <v>#N/A</v>
      </c>
    </row>
    <row r="105" spans="1:5" x14ac:dyDescent="0.2">
      <c r="A105" s="89" t="str">
        <f>'Calculated Stats'!C9</f>
        <v>Cloud</v>
      </c>
      <c r="B105" s="90" cm="1">
        <f t="array" ref="B105">IFERROR(INDEX('rawdata | iteration analysis'!$2:$2, E105), 0)</f>
        <v>9</v>
      </c>
      <c r="D105" s="69" t="str">
        <f t="shared" si="5"/>
        <v>completedComponents_Cloud_count</v>
      </c>
      <c r="E105" s="69">
        <f>MATCH(D105, 'rawdata | iteration analysis'!$1:$1, )</f>
        <v>75</v>
      </c>
    </row>
    <row r="106" spans="1:5" x14ac:dyDescent="0.2">
      <c r="A106" s="89" t="str">
        <f>'Calculated Stats'!C10</f>
        <v>Dataverse</v>
      </c>
      <c r="B106" s="90" cm="1">
        <f t="array" ref="B106">IFERROR(INDEX('rawdata | iteration analysis'!$2:$2, E106), 0)</f>
        <v>13</v>
      </c>
      <c r="D106" s="69" t="str">
        <f t="shared" si="5"/>
        <v>completedComponents_Dataverse_count</v>
      </c>
      <c r="E106" s="69">
        <f>MATCH(D106, 'rawdata | iteration analysis'!$1:$1, )</f>
        <v>73</v>
      </c>
    </row>
    <row r="107" spans="1:5" x14ac:dyDescent="0.2">
      <c r="A107" s="89">
        <f>'Calculated Stats'!C11</f>
        <v>0</v>
      </c>
      <c r="B107" s="90" cm="1">
        <f t="array" ref="B107">IFERROR(INDEX('rawdata | iteration analysis'!$2:$2, E107), 0)</f>
        <v>0</v>
      </c>
      <c r="D107" s="69" t="str">
        <f t="shared" si="5"/>
        <v>completedComponents_0_count</v>
      </c>
      <c r="E107" s="69" t="e">
        <f>MATCH(D107, 'rawdata | iteration analysis'!$1:$1, )</f>
        <v>#N/A</v>
      </c>
    </row>
    <row r="108" spans="1:5" x14ac:dyDescent="0.2">
      <c r="A108" s="89">
        <f>'Calculated Stats'!C12</f>
        <v>5</v>
      </c>
      <c r="B108" s="90" cm="1">
        <f t="array" ref="B108">IFERROR(INDEX('rawdata | iteration analysis'!$2:$2, E108), 0)</f>
        <v>0</v>
      </c>
      <c r="D108" s="69" t="str">
        <f t="shared" si="5"/>
        <v>completedComponents_5_count</v>
      </c>
      <c r="E108" s="69" t="e">
        <f>MATCH(D108, 'rawdata | iteration analysis'!$1:$1, )</f>
        <v>#N/A</v>
      </c>
    </row>
    <row r="109" spans="1:5" x14ac:dyDescent="0.2">
      <c r="A109" s="89">
        <f>'Calculated Stats'!C13</f>
        <v>6</v>
      </c>
      <c r="B109" s="90" cm="1">
        <f t="array" ref="B109">IFERROR(INDEX('rawdata | iteration analysis'!$2:$2, E109), 0)</f>
        <v>0</v>
      </c>
      <c r="D109" s="69" t="str">
        <f t="shared" si="5"/>
        <v>completedComponents_6_count</v>
      </c>
      <c r="E109" s="69" t="e">
        <f>MATCH(D109, 'rawdata | iteration analysis'!$1:$1, )</f>
        <v>#N/A</v>
      </c>
    </row>
    <row r="110" spans="1:5" x14ac:dyDescent="0.2">
      <c r="A110" s="89">
        <f>'Calculated Stats'!C14</f>
        <v>7</v>
      </c>
      <c r="B110" s="90" cm="1">
        <f t="array" ref="B110">IFERROR(INDEX('rawdata | iteration analysis'!$2:$2, E110), 0)</f>
        <v>0</v>
      </c>
      <c r="D110" s="69" t="str">
        <f t="shared" si="5"/>
        <v>completedComponents_7_count</v>
      </c>
      <c r="E110" s="69" t="e">
        <f>MATCH(D110, 'rawdata | iteration analysis'!$1:$1, )</f>
        <v>#N/A</v>
      </c>
    </row>
    <row r="111" spans="1:5" x14ac:dyDescent="0.2">
      <c r="A111" s="89">
        <f>'Calculated Stats'!C15</f>
        <v>8</v>
      </c>
      <c r="B111" s="90" cm="1">
        <f t="array" ref="B111">IFERROR(INDEX('rawdata | iteration analysis'!$2:$2, E111), 0)</f>
        <v>0</v>
      </c>
      <c r="D111" s="69" t="str">
        <f t="shared" si="5"/>
        <v>completedComponents_8_count</v>
      </c>
      <c r="E111" s="69" t="e">
        <f>MATCH(D111, 'rawdata | iteration analysis'!$1:$1, )</f>
        <v>#N/A</v>
      </c>
    </row>
    <row r="112" spans="1:5" x14ac:dyDescent="0.2">
      <c r="A112" s="89">
        <f>'Calculated Stats'!C16</f>
        <v>9</v>
      </c>
      <c r="B112" s="90" cm="1">
        <f t="array" ref="B112">IFERROR(INDEX('rawdata | iteration analysis'!$2:$2, E112), 0)</f>
        <v>0</v>
      </c>
      <c r="D112" s="69" t="str">
        <f t="shared" si="5"/>
        <v>completedComponents_9_count</v>
      </c>
      <c r="E112" s="69" t="e">
        <f>MATCH(D112, 'rawdata | iteration analysis'!$1:$1, )</f>
        <v>#N/A</v>
      </c>
    </row>
    <row r="113" spans="1:6" x14ac:dyDescent="0.2">
      <c r="A113" s="89">
        <f>'Calculated Stats'!C17</f>
        <v>10</v>
      </c>
      <c r="B113" s="90" cm="1">
        <f t="array" ref="B113">IFERROR(INDEX('rawdata | iteration analysis'!$2:$2, E113), 0)</f>
        <v>0</v>
      </c>
      <c r="D113" s="69" t="str">
        <f t="shared" si="5"/>
        <v>completedComponents_10_count</v>
      </c>
      <c r="E113" s="69" t="e">
        <f>MATCH(D113, 'rawdata | iteration analysis'!$1:$1, )</f>
        <v>#N/A</v>
      </c>
    </row>
    <row r="114" spans="1:6" x14ac:dyDescent="0.2">
      <c r="D114" s="68"/>
      <c r="E114" s="68"/>
    </row>
    <row r="115" spans="1:6" x14ac:dyDescent="0.2">
      <c r="D115" s="68"/>
      <c r="E115" s="68"/>
    </row>
    <row r="116" spans="1:6" ht="26" x14ac:dyDescent="0.2">
      <c r="A116" s="99" t="s">
        <v>19</v>
      </c>
      <c r="B116" s="99"/>
      <c r="C116" s="99"/>
      <c r="D116" s="99"/>
      <c r="E116" s="99"/>
      <c r="F116" s="99"/>
    </row>
    <row r="117" spans="1:6" x14ac:dyDescent="0.2">
      <c r="A117" s="13" t="s">
        <v>194</v>
      </c>
      <c r="B117" s="91"/>
      <c r="D117" s="94" t="s">
        <v>189</v>
      </c>
      <c r="E117" s="94" t="s">
        <v>190</v>
      </c>
    </row>
    <row r="118" spans="1:6" x14ac:dyDescent="0.2">
      <c r="A118" s="6" t="s">
        <v>13</v>
      </c>
      <c r="B118" s="58" cm="1">
        <f t="array" ref="B118">IFERROR(INDEX('rawdata | iteration analysis'!$2:$2, E118), 0)</f>
        <v>53</v>
      </c>
      <c r="D118" s="69" t="s">
        <v>103</v>
      </c>
      <c r="E118" s="69">
        <f>MATCH(D118, 'rawdata | iteration analysis'!$1:$1, )</f>
        <v>9</v>
      </c>
    </row>
    <row r="119" spans="1:6" x14ac:dyDescent="0.2">
      <c r="A119" s="6" t="s">
        <v>14</v>
      </c>
      <c r="B119" s="58" cm="1">
        <f t="array" ref="B119">IFERROR(INDEX('rawdata | iteration analysis'!$2:$2, E119), 0)</f>
        <v>26.5</v>
      </c>
      <c r="D119" s="69" t="s">
        <v>101</v>
      </c>
      <c r="E119" s="69">
        <f>MATCH(D119, 'rawdata | iteration analysis'!$1:$1, )</f>
        <v>7</v>
      </c>
    </row>
    <row r="120" spans="1:6" x14ac:dyDescent="0.2">
      <c r="A120" s="12" t="s">
        <v>15</v>
      </c>
      <c r="B120" s="58" cm="1">
        <f t="array" ref="B120">IFERROR(INDEX('rawdata | iteration analysis'!$2:$2, E120), 0)</f>
        <v>79.5</v>
      </c>
      <c r="D120" s="69" t="s">
        <v>99</v>
      </c>
      <c r="E120" s="69">
        <f>MATCH(D120, 'rawdata | iteration analysis'!$1:$1, )</f>
        <v>5</v>
      </c>
    </row>
    <row r="121" spans="1:6" x14ac:dyDescent="0.2">
      <c r="A121" s="6" t="s">
        <v>16</v>
      </c>
      <c r="B121" s="58" cm="1">
        <f t="array" ref="B121">IFERROR(INDEX('rawdata | iteration analysis'!$2:$2, E121), 0)</f>
        <v>72.5</v>
      </c>
      <c r="D121" s="69" t="s">
        <v>105</v>
      </c>
      <c r="E121" s="69">
        <f>MATCH(D121, 'rawdata | iteration analysis'!$1:$1, )</f>
        <v>11</v>
      </c>
    </row>
    <row r="122" spans="1:6" x14ac:dyDescent="0.2">
      <c r="A122" s="6" t="s">
        <v>18</v>
      </c>
      <c r="B122" s="58" cm="1">
        <f t="array" ref="B122">IFERROR(INDEX('rawdata | iteration analysis'!$2:$2, E122), 0)</f>
        <v>15</v>
      </c>
      <c r="D122" s="69" t="s">
        <v>107</v>
      </c>
      <c r="E122" s="69">
        <f>MATCH(D122, 'rawdata | iteration analysis'!$1:$1, )</f>
        <v>13</v>
      </c>
    </row>
    <row r="123" spans="1:6" x14ac:dyDescent="0.2">
      <c r="D123" s="68"/>
      <c r="E123" s="68"/>
      <c r="F123" s="68"/>
    </row>
    <row r="124" spans="1:6" x14ac:dyDescent="0.2">
      <c r="D124" s="68"/>
      <c r="E124" s="68"/>
      <c r="F124" s="68"/>
    </row>
    <row r="125" spans="1:6" x14ac:dyDescent="0.2">
      <c r="D125"/>
      <c r="E125"/>
    </row>
    <row r="126" spans="1:6" x14ac:dyDescent="0.2">
      <c r="A126" s="13" t="s">
        <v>193</v>
      </c>
      <c r="B126" s="91"/>
      <c r="D126" s="94" t="s">
        <v>189</v>
      </c>
      <c r="E126" s="94" t="s">
        <v>190</v>
      </c>
    </row>
    <row r="127" spans="1:6" x14ac:dyDescent="0.2">
      <c r="A127" s="6" t="s">
        <v>13</v>
      </c>
      <c r="B127" s="58" cm="1">
        <f t="array" ref="B127">IFERROR(INDEX('rawdata | iteration analysis'!$2:$2, E127), 0)</f>
        <v>41</v>
      </c>
      <c r="D127" s="69" t="s">
        <v>104</v>
      </c>
      <c r="E127" s="69">
        <f>MATCH(D127, 'rawdata | iteration analysis'!$1:$1, )</f>
        <v>10</v>
      </c>
    </row>
    <row r="128" spans="1:6" x14ac:dyDescent="0.2">
      <c r="A128" s="6" t="s">
        <v>14</v>
      </c>
      <c r="B128" s="58" cm="1">
        <f t="array" ref="B128">IFERROR(INDEX('rawdata | iteration analysis'!$2:$2, E128), 0)</f>
        <v>23</v>
      </c>
      <c r="D128" s="69" t="s">
        <v>102</v>
      </c>
      <c r="E128" s="69">
        <f>MATCH(D128, 'rawdata | iteration analysis'!$1:$1, )</f>
        <v>8</v>
      </c>
    </row>
    <row r="129" spans="1:6" x14ac:dyDescent="0.2">
      <c r="A129" s="12" t="s">
        <v>15</v>
      </c>
      <c r="B129" s="58" cm="1">
        <f t="array" ref="B129">IFERROR(INDEX('rawdata | iteration analysis'!$2:$2, E129), 0)</f>
        <v>64</v>
      </c>
      <c r="D129" s="69" t="s">
        <v>100</v>
      </c>
      <c r="E129" s="69">
        <f>MATCH(D129, 'rawdata | iteration analysis'!$1:$1, )</f>
        <v>6</v>
      </c>
    </row>
    <row r="130" spans="1:6" x14ac:dyDescent="0.2">
      <c r="A130" s="6" t="s">
        <v>16</v>
      </c>
      <c r="B130" s="58" cm="1">
        <f t="array" ref="B130">IFERROR(INDEX('rawdata | iteration analysis'!$2:$2, E130), 0)</f>
        <v>63</v>
      </c>
      <c r="D130" s="69" t="s">
        <v>106</v>
      </c>
      <c r="E130" s="69">
        <f>MATCH(D130, 'rawdata | iteration analysis'!$1:$1, )</f>
        <v>12</v>
      </c>
    </row>
    <row r="131" spans="1:6" x14ac:dyDescent="0.2">
      <c r="A131" s="6" t="s">
        <v>18</v>
      </c>
      <c r="B131" s="58" cm="1">
        <f t="array" ref="B131">IFERROR(INDEX('rawdata | iteration analysis'!$2:$2, E131), 0)</f>
        <v>9</v>
      </c>
      <c r="D131" s="69" t="s">
        <v>108</v>
      </c>
      <c r="E131" s="69">
        <f>MATCH(D131, 'rawdata | iteration analysis'!$1:$1, )</f>
        <v>14</v>
      </c>
    </row>
    <row r="132" spans="1:6" x14ac:dyDescent="0.2">
      <c r="D132" s="68"/>
      <c r="E132" s="68"/>
      <c r="F132" s="68"/>
    </row>
    <row r="133" spans="1:6" x14ac:dyDescent="0.2">
      <c r="D133" s="68"/>
      <c r="E133" s="68"/>
      <c r="F133" s="68"/>
    </row>
    <row r="134" spans="1:6" x14ac:dyDescent="0.2">
      <c r="D134"/>
      <c r="E134"/>
    </row>
    <row r="135" spans="1:6" x14ac:dyDescent="0.2">
      <c r="A135" s="9" t="s">
        <v>198</v>
      </c>
      <c r="B135" s="92"/>
      <c r="D135" s="94" t="s">
        <v>189</v>
      </c>
      <c r="E135" s="94" t="s">
        <v>190</v>
      </c>
    </row>
    <row r="136" spans="1:6" x14ac:dyDescent="0.2">
      <c r="A136" s="4" t="s">
        <v>196</v>
      </c>
      <c r="B136" s="53" cm="1">
        <f t="array" ref="B136">IFERROR(INDEX('rawdata | iteration analysis'!$2:$2, E136), 0)</f>
        <v>23</v>
      </c>
      <c r="C136"/>
      <c r="D136" s="69" t="s">
        <v>110</v>
      </c>
      <c r="E136" s="69">
        <f>MATCH(D136, 'rawdata | iteration analysis'!$1:$1, )</f>
        <v>16</v>
      </c>
    </row>
    <row r="137" spans="1:6" x14ac:dyDescent="0.2">
      <c r="A137" s="4" t="s">
        <v>5</v>
      </c>
      <c r="B137" s="53" cm="1">
        <f t="array" ref="B137">IFERROR(INDEX('rawdata | iteration analysis'!$2:$2, E137), 0)</f>
        <v>30</v>
      </c>
      <c r="C137"/>
      <c r="D137" s="69" t="s">
        <v>112</v>
      </c>
      <c r="E137" s="69">
        <f>MATCH(D137, 'rawdata | iteration analysis'!$1:$1, )</f>
        <v>18</v>
      </c>
    </row>
    <row r="138" spans="1:6" x14ac:dyDescent="0.2">
      <c r="A138" s="4" t="s">
        <v>0</v>
      </c>
      <c r="B138" s="53" cm="1">
        <f t="array" ref="B138">IFERROR(INDEX('rawdata | iteration analysis'!$2:$2, E138), 0)</f>
        <v>26.5</v>
      </c>
      <c r="C138"/>
      <c r="D138" s="69" t="s">
        <v>114</v>
      </c>
      <c r="E138" s="69">
        <f>MATCH(D138, 'rawdata | iteration analysis'!$1:$1, )</f>
        <v>20</v>
      </c>
    </row>
    <row r="139" spans="1:6" x14ac:dyDescent="0.2">
      <c r="D139" s="68"/>
      <c r="E139" s="68"/>
      <c r="F139" s="68"/>
    </row>
    <row r="140" spans="1:6" x14ac:dyDescent="0.2">
      <c r="D140" s="68"/>
      <c r="E140" s="68"/>
      <c r="F140" s="68"/>
    </row>
    <row r="141" spans="1:6" x14ac:dyDescent="0.2">
      <c r="D141"/>
      <c r="E141"/>
    </row>
    <row r="142" spans="1:6" x14ac:dyDescent="0.2">
      <c r="A142" s="9" t="s">
        <v>199</v>
      </c>
      <c r="B142" s="92"/>
      <c r="D142" s="94" t="s">
        <v>189</v>
      </c>
      <c r="E142" s="94" t="s">
        <v>190</v>
      </c>
    </row>
    <row r="143" spans="1:6" x14ac:dyDescent="0.2">
      <c r="A143" s="4" t="s">
        <v>196</v>
      </c>
      <c r="B143" s="53" cm="1">
        <f t="array" ref="B143">IFERROR(INDEX('rawdata | iteration analysis'!$2:$2, E143), 0)</f>
        <v>19</v>
      </c>
      <c r="D143" s="69" t="s">
        <v>109</v>
      </c>
      <c r="E143" s="69">
        <f>MATCH(D143, 'rawdata | iteration analysis'!$1:$1, )</f>
        <v>15</v>
      </c>
    </row>
    <row r="144" spans="1:6" x14ac:dyDescent="0.2">
      <c r="A144" s="4" t="s">
        <v>5</v>
      </c>
      <c r="B144" s="53" cm="1">
        <f t="array" ref="B144">IFERROR(INDEX('rawdata | iteration analysis'!$2:$2, E144), 0)</f>
        <v>22</v>
      </c>
      <c r="D144" s="69" t="s">
        <v>111</v>
      </c>
      <c r="E144" s="69">
        <f>MATCH(D144, 'rawdata | iteration analysis'!$1:$1, )</f>
        <v>17</v>
      </c>
    </row>
    <row r="145" spans="1:6" x14ac:dyDescent="0.2">
      <c r="A145" s="4" t="s">
        <v>0</v>
      </c>
      <c r="B145" s="53" cm="1">
        <f t="array" ref="B145">IFERROR(INDEX('rawdata | iteration analysis'!$2:$2, E145), 0)</f>
        <v>23</v>
      </c>
      <c r="D145" s="69" t="s">
        <v>113</v>
      </c>
      <c r="E145" s="69">
        <f>MATCH(D145, 'rawdata | iteration analysis'!$1:$1, )</f>
        <v>19</v>
      </c>
    </row>
    <row r="146" spans="1:6" x14ac:dyDescent="0.2">
      <c r="B146"/>
      <c r="C146"/>
      <c r="D146"/>
      <c r="E146"/>
    </row>
    <row r="147" spans="1:6" x14ac:dyDescent="0.2">
      <c r="B147"/>
      <c r="C147"/>
      <c r="D147"/>
      <c r="E147"/>
    </row>
    <row r="148" spans="1:6" x14ac:dyDescent="0.2">
      <c r="B148"/>
      <c r="C148"/>
      <c r="D148"/>
      <c r="E148"/>
    </row>
    <row r="149" spans="1:6" ht="26" x14ac:dyDescent="0.2">
      <c r="A149" s="99" t="s">
        <v>218</v>
      </c>
      <c r="B149" s="99"/>
      <c r="C149" s="99"/>
      <c r="D149" s="99"/>
      <c r="E149" s="99"/>
      <c r="F149" s="99"/>
    </row>
    <row r="150" spans="1:6" x14ac:dyDescent="0.2">
      <c r="A150" s="103" t="s">
        <v>214</v>
      </c>
      <c r="B150" s="103"/>
      <c r="C150"/>
      <c r="D150" s="94" t="s">
        <v>189</v>
      </c>
      <c r="E150" s="94" t="s">
        <v>190</v>
      </c>
    </row>
    <row r="151" spans="1:6" x14ac:dyDescent="0.2">
      <c r="A151" s="7" t="s">
        <v>214</v>
      </c>
      <c r="B151" s="104" cm="1">
        <f t="array" ref="B151">IFERROR(INDEX('rawdata | iteration analysis'!$2:$2, E151), 0)</f>
        <v>30</v>
      </c>
      <c r="D151" s="69" t="s">
        <v>175</v>
      </c>
      <c r="E151" s="69">
        <f>MATCH(D151, 'rawdata | iteration analysis'!$1:$1, )</f>
        <v>81</v>
      </c>
    </row>
    <row r="152" spans="1:6" x14ac:dyDescent="0.2">
      <c r="D152" s="68"/>
      <c r="E152" s="68"/>
    </row>
    <row r="153" spans="1:6" x14ac:dyDescent="0.2">
      <c r="D153"/>
      <c r="E153"/>
    </row>
    <row r="154" spans="1:6" x14ac:dyDescent="0.2">
      <c r="A154" s="10" t="s">
        <v>197</v>
      </c>
      <c r="B154" s="10"/>
      <c r="D154" s="94" t="s">
        <v>189</v>
      </c>
      <c r="E154" s="94" t="s">
        <v>190</v>
      </c>
    </row>
    <row r="155" spans="1:6" x14ac:dyDescent="0.2">
      <c r="A155" s="18" t="s">
        <v>24</v>
      </c>
      <c r="B155" s="93" cm="1">
        <f t="array" ref="B155">IFERROR(INDEX('rawdata | iteration analysis'!$2:$2, E155), 0)</f>
        <v>1.2</v>
      </c>
      <c r="D155" s="69" t="s">
        <v>173</v>
      </c>
      <c r="E155" s="69">
        <f>MATCH(D155, 'rawdata | iteration analysis'!$1:$1, )</f>
        <v>79</v>
      </c>
    </row>
    <row r="156" spans="1:6" x14ac:dyDescent="0.2">
      <c r="A156" s="18" t="s">
        <v>25</v>
      </c>
      <c r="B156" s="93" cm="1">
        <f t="array" ref="B156">IFERROR(INDEX('rawdata | iteration analysis'!$2:$2, E156), 0)</f>
        <v>13</v>
      </c>
      <c r="D156" s="69" t="s">
        <v>174</v>
      </c>
      <c r="E156" s="69">
        <f>MATCH(D156, 'rawdata | iteration analysis'!$1:$1, )</f>
        <v>80</v>
      </c>
      <c r="F156" s="68"/>
    </row>
    <row r="157" spans="1:6" x14ac:dyDescent="0.2">
      <c r="D157" s="68"/>
      <c r="E157" s="68"/>
      <c r="F157" s="68"/>
    </row>
    <row r="158" spans="1:6" x14ac:dyDescent="0.2">
      <c r="D158" s="68"/>
      <c r="E158" s="68"/>
      <c r="F158" s="68"/>
    </row>
    <row r="159" spans="1:6" x14ac:dyDescent="0.2">
      <c r="D159"/>
      <c r="E159"/>
    </row>
    <row r="160" spans="1:6" x14ac:dyDescent="0.2">
      <c r="A160" s="13" t="s">
        <v>70</v>
      </c>
      <c r="B160" s="91"/>
      <c r="D160" s="94" t="s">
        <v>189</v>
      </c>
      <c r="E160" s="94" t="s">
        <v>190</v>
      </c>
    </row>
    <row r="161" spans="1:5" x14ac:dyDescent="0.2">
      <c r="A161" s="6" t="s">
        <v>76</v>
      </c>
      <c r="B161" s="58" cm="1">
        <f t="array" ref="B161">IFERROR(INDEX('rawdata | iteration analysis'!$2:$2, E161), 0)</f>
        <v>50</v>
      </c>
      <c r="D161" s="69" t="s">
        <v>176</v>
      </c>
      <c r="E161" s="69">
        <f>MATCH(D161, 'rawdata | iteration analysis'!$1:$1, )</f>
        <v>82</v>
      </c>
    </row>
    <row r="162" spans="1:5" x14ac:dyDescent="0.2">
      <c r="A162" s="6" t="s">
        <v>73</v>
      </c>
      <c r="B162" s="58">
        <f>B120</f>
        <v>79.5</v>
      </c>
      <c r="D162" s="69" t="s">
        <v>99</v>
      </c>
      <c r="E162" s="69">
        <f>MATCH(D162, 'rawdata | iteration analysis'!$1:$1, )</f>
        <v>5</v>
      </c>
    </row>
    <row r="163" spans="1:5" x14ac:dyDescent="0.2">
      <c r="A163" s="6" t="s">
        <v>74</v>
      </c>
      <c r="B163" s="58" cm="1">
        <f t="array" ref="B163">IFERROR(INDEX('rawdata | iteration analysis'!$2:$2, E163), 0)</f>
        <v>26.5</v>
      </c>
      <c r="D163" s="69" t="s">
        <v>101</v>
      </c>
      <c r="E163" s="69">
        <f>MATCH(D163, 'rawdata | iteration analysis'!$1:$1, )</f>
        <v>7</v>
      </c>
    </row>
    <row r="164" spans="1:5" x14ac:dyDescent="0.2">
      <c r="A164" s="6" t="s">
        <v>75</v>
      </c>
      <c r="B164" s="58" cm="1">
        <f t="array" ref="B164">IFERROR(INDEX('rawdata | iteration analysis'!$2:$2, E164), 0)</f>
        <v>50</v>
      </c>
      <c r="D164" s="69" t="s">
        <v>178</v>
      </c>
      <c r="E164" s="69">
        <f>MATCH(D164, 'rawdata | iteration analysis'!$1:$1, )</f>
        <v>84</v>
      </c>
    </row>
    <row r="165" spans="1:5" x14ac:dyDescent="0.2">
      <c r="A165" s="6"/>
      <c r="B165" s="58"/>
    </row>
    <row r="166" spans="1:5" x14ac:dyDescent="0.2">
      <c r="A166" s="6" t="s">
        <v>71</v>
      </c>
      <c r="B166" s="58" t="b" cm="1">
        <f t="array" ref="B166">IFERROR(INDEX('rawdata | iteration analysis'!$2:$2, E166), 0)</f>
        <v>0</v>
      </c>
      <c r="D166" s="69" t="s">
        <v>180</v>
      </c>
      <c r="E166" s="69">
        <f>MATCH(D166, 'rawdata | iteration analysis'!$1:$1, )</f>
        <v>86</v>
      </c>
    </row>
    <row r="167" spans="1:5" x14ac:dyDescent="0.2">
      <c r="A167" s="6" t="s">
        <v>72</v>
      </c>
      <c r="B167" s="58" t="b" cm="1">
        <f t="array" ref="B167">IFERROR(INDEX('rawdata | iteration analysis'!$2:$2, E167), 0)</f>
        <v>0</v>
      </c>
      <c r="D167" s="69" t="s">
        <v>182</v>
      </c>
      <c r="E167" s="69">
        <f>MATCH(D167, 'rawdata | iteration analysis'!$1:$1, )</f>
        <v>88</v>
      </c>
    </row>
    <row r="168" spans="1:5" x14ac:dyDescent="0.2">
      <c r="D168" s="95"/>
      <c r="E168" s="95"/>
    </row>
    <row r="169" spans="1:5" x14ac:dyDescent="0.2">
      <c r="D169" s="95"/>
      <c r="E169" s="95"/>
    </row>
    <row r="170" spans="1:5" x14ac:dyDescent="0.2">
      <c r="D170" s="95"/>
      <c r="E170" s="95"/>
    </row>
    <row r="171" spans="1:5" x14ac:dyDescent="0.2">
      <c r="D171" s="95"/>
      <c r="E171" s="95"/>
    </row>
    <row r="172" spans="1:5" x14ac:dyDescent="0.2">
      <c r="D172" s="95"/>
      <c r="E172" s="95"/>
    </row>
    <row r="173" spans="1:5" x14ac:dyDescent="0.2">
      <c r="D173" s="95"/>
      <c r="E173" s="95"/>
    </row>
    <row r="174" spans="1:5" x14ac:dyDescent="0.2">
      <c r="D174" s="95"/>
      <c r="E174" s="95"/>
    </row>
    <row r="175" spans="1:5" x14ac:dyDescent="0.2">
      <c r="D175" s="95"/>
      <c r="E175" s="95"/>
    </row>
    <row r="176" spans="1:5" x14ac:dyDescent="0.2">
      <c r="D176" s="95"/>
      <c r="E176" s="95"/>
    </row>
    <row r="177" spans="4:5" x14ac:dyDescent="0.2">
      <c r="D177" s="95"/>
      <c r="E177" s="95"/>
    </row>
    <row r="178" spans="4:5" x14ac:dyDescent="0.2">
      <c r="D178" s="95"/>
      <c r="E178" s="95"/>
    </row>
    <row r="179" spans="4:5" x14ac:dyDescent="0.2">
      <c r="D179" s="95"/>
      <c r="E179" s="95"/>
    </row>
    <row r="180" spans="4:5" x14ac:dyDescent="0.2">
      <c r="D180" s="95"/>
      <c r="E180" s="95"/>
    </row>
    <row r="181" spans="4:5" x14ac:dyDescent="0.2">
      <c r="D181" s="95"/>
      <c r="E181" s="95"/>
    </row>
    <row r="182" spans="4:5" x14ac:dyDescent="0.2">
      <c r="D182" s="95"/>
      <c r="E182" s="95"/>
    </row>
    <row r="183" spans="4:5" x14ac:dyDescent="0.2">
      <c r="D183" s="95"/>
      <c r="E183" s="95"/>
    </row>
    <row r="184" spans="4:5" x14ac:dyDescent="0.2">
      <c r="D184" s="95"/>
      <c r="E184" s="95"/>
    </row>
    <row r="185" spans="4:5" x14ac:dyDescent="0.2">
      <c r="D185" s="95"/>
      <c r="E185" s="95"/>
    </row>
    <row r="186" spans="4:5" x14ac:dyDescent="0.2">
      <c r="D186" s="95"/>
      <c r="E186" s="95"/>
    </row>
    <row r="187" spans="4:5" x14ac:dyDescent="0.2">
      <c r="D187" s="95"/>
      <c r="E187" s="95"/>
    </row>
    <row r="188" spans="4:5" x14ac:dyDescent="0.2">
      <c r="D188" s="95"/>
      <c r="E188" s="95"/>
    </row>
    <row r="189" spans="4:5" x14ac:dyDescent="0.2">
      <c r="D189" s="95"/>
      <c r="E189" s="95"/>
    </row>
    <row r="190" spans="4:5" x14ac:dyDescent="0.2">
      <c r="D190" s="95"/>
      <c r="E190" s="95"/>
    </row>
    <row r="191" spans="4:5" x14ac:dyDescent="0.2">
      <c r="D191" s="95"/>
      <c r="E191" s="95"/>
    </row>
    <row r="192" spans="4:5" x14ac:dyDescent="0.2">
      <c r="D192" s="95"/>
      <c r="E192" s="95"/>
    </row>
    <row r="193" spans="4:5" x14ac:dyDescent="0.2">
      <c r="D193" s="95"/>
      <c r="E193" s="95"/>
    </row>
    <row r="194" spans="4:5" x14ac:dyDescent="0.2">
      <c r="D194" s="95"/>
      <c r="E194" s="95"/>
    </row>
    <row r="195" spans="4:5" x14ac:dyDescent="0.2">
      <c r="D195" s="95"/>
      <c r="E195" s="95"/>
    </row>
    <row r="196" spans="4:5" x14ac:dyDescent="0.2">
      <c r="D196" s="95"/>
      <c r="E196" s="95"/>
    </row>
    <row r="197" spans="4:5" x14ac:dyDescent="0.2">
      <c r="D197" s="95"/>
      <c r="E197" s="95"/>
    </row>
    <row r="198" spans="4:5" x14ac:dyDescent="0.2">
      <c r="D198" s="95"/>
      <c r="E198" s="95"/>
    </row>
    <row r="199" spans="4:5" x14ac:dyDescent="0.2">
      <c r="D199" s="95"/>
      <c r="E199" s="95"/>
    </row>
    <row r="200" spans="4:5" x14ac:dyDescent="0.2">
      <c r="D200" s="95"/>
      <c r="E200" s="95"/>
    </row>
    <row r="201" spans="4:5" x14ac:dyDescent="0.2">
      <c r="D201" s="95"/>
      <c r="E201" s="95"/>
    </row>
    <row r="202" spans="4:5" x14ac:dyDescent="0.2">
      <c r="D202" s="95"/>
      <c r="E202" s="95"/>
    </row>
    <row r="203" spans="4:5" x14ac:dyDescent="0.2">
      <c r="D203" s="95"/>
      <c r="E203" s="95"/>
    </row>
    <row r="204" spans="4:5" x14ac:dyDescent="0.2">
      <c r="D204" s="95"/>
      <c r="E204" s="95"/>
    </row>
    <row r="205" spans="4:5" x14ac:dyDescent="0.2">
      <c r="D205" s="95"/>
      <c r="E205" s="95"/>
    </row>
    <row r="206" spans="4:5" x14ac:dyDescent="0.2">
      <c r="D206" s="95"/>
      <c r="E206" s="95"/>
    </row>
    <row r="207" spans="4:5" x14ac:dyDescent="0.2">
      <c r="D207" s="95"/>
      <c r="E207" s="95"/>
    </row>
    <row r="208" spans="4:5" x14ac:dyDescent="0.2">
      <c r="D208" s="95"/>
      <c r="E208" s="95"/>
    </row>
    <row r="209" spans="4:5" x14ac:dyDescent="0.2">
      <c r="D209" s="95"/>
      <c r="E209" s="95"/>
    </row>
    <row r="210" spans="4:5" x14ac:dyDescent="0.2">
      <c r="D210" s="95"/>
      <c r="E210" s="95"/>
    </row>
    <row r="211" spans="4:5" x14ac:dyDescent="0.2">
      <c r="D211" s="95"/>
      <c r="E211" s="95"/>
    </row>
    <row r="212" spans="4:5" x14ac:dyDescent="0.2">
      <c r="D212" s="95"/>
      <c r="E212" s="95"/>
    </row>
    <row r="213" spans="4:5" x14ac:dyDescent="0.2">
      <c r="D213" s="95"/>
      <c r="E213" s="95"/>
    </row>
    <row r="214" spans="4:5" x14ac:dyDescent="0.2">
      <c r="D214" s="95"/>
      <c r="E214" s="95"/>
    </row>
    <row r="215" spans="4:5" x14ac:dyDescent="0.2">
      <c r="D215" s="95"/>
      <c r="E215" s="95"/>
    </row>
    <row r="216" spans="4:5" x14ac:dyDescent="0.2">
      <c r="D216" s="95"/>
      <c r="E216" s="95"/>
    </row>
    <row r="217" spans="4:5" x14ac:dyDescent="0.2">
      <c r="D217" s="95"/>
      <c r="E217" s="95"/>
    </row>
    <row r="218" spans="4:5" x14ac:dyDescent="0.2">
      <c r="D218" s="95"/>
      <c r="E218" s="95"/>
    </row>
    <row r="219" spans="4:5" x14ac:dyDescent="0.2">
      <c r="D219" s="95"/>
      <c r="E219" s="95"/>
    </row>
    <row r="220" spans="4:5" x14ac:dyDescent="0.2">
      <c r="D220" s="95"/>
      <c r="E220" s="95"/>
    </row>
    <row r="221" spans="4:5" x14ac:dyDescent="0.2">
      <c r="D221" s="95"/>
      <c r="E221" s="95"/>
    </row>
    <row r="222" spans="4:5" x14ac:dyDescent="0.2">
      <c r="D222" s="95"/>
      <c r="E222" s="95"/>
    </row>
    <row r="223" spans="4:5" x14ac:dyDescent="0.2">
      <c r="D223" s="95"/>
      <c r="E223" s="95"/>
    </row>
    <row r="224" spans="4:5" x14ac:dyDescent="0.2">
      <c r="D224" s="95"/>
      <c r="E224" s="95"/>
    </row>
    <row r="225" spans="4:5" x14ac:dyDescent="0.2">
      <c r="D225" s="95"/>
      <c r="E225" s="95"/>
    </row>
    <row r="226" spans="4:5" x14ac:dyDescent="0.2">
      <c r="D226" s="95"/>
      <c r="E226" s="95"/>
    </row>
    <row r="227" spans="4:5" x14ac:dyDescent="0.2">
      <c r="D227" s="95"/>
      <c r="E227" s="95"/>
    </row>
    <row r="228" spans="4:5" x14ac:dyDescent="0.2">
      <c r="D228" s="95"/>
      <c r="E228" s="95"/>
    </row>
    <row r="229" spans="4:5" x14ac:dyDescent="0.2">
      <c r="D229" s="95"/>
      <c r="E229" s="95"/>
    </row>
    <row r="230" spans="4:5" x14ac:dyDescent="0.2">
      <c r="D230" s="95"/>
      <c r="E230" s="95"/>
    </row>
    <row r="231" spans="4:5" x14ac:dyDescent="0.2">
      <c r="D231" s="95"/>
      <c r="E231" s="95"/>
    </row>
    <row r="232" spans="4:5" x14ac:dyDescent="0.2">
      <c r="D232" s="95"/>
      <c r="E232" s="95"/>
    </row>
    <row r="233" spans="4:5" x14ac:dyDescent="0.2">
      <c r="D233" s="95"/>
      <c r="E233" s="95"/>
    </row>
    <row r="234" spans="4:5" x14ac:dyDescent="0.2">
      <c r="D234" s="95"/>
      <c r="E234" s="95"/>
    </row>
    <row r="235" spans="4:5" x14ac:dyDescent="0.2">
      <c r="D235" s="95"/>
      <c r="E235" s="95"/>
    </row>
    <row r="236" spans="4:5" x14ac:dyDescent="0.2">
      <c r="D236" s="95"/>
      <c r="E236" s="95"/>
    </row>
    <row r="237" spans="4:5" x14ac:dyDescent="0.2">
      <c r="D237" s="95"/>
      <c r="E237" s="95"/>
    </row>
    <row r="238" spans="4:5" x14ac:dyDescent="0.2">
      <c r="D238" s="95"/>
      <c r="E238" s="95"/>
    </row>
    <row r="239" spans="4:5" x14ac:dyDescent="0.2">
      <c r="D239" s="95"/>
      <c r="E239" s="95"/>
    </row>
    <row r="240" spans="4:5" x14ac:dyDescent="0.2">
      <c r="D240" s="95"/>
      <c r="E240" s="95"/>
    </row>
    <row r="241" spans="4:5" x14ac:dyDescent="0.2">
      <c r="D241" s="95"/>
      <c r="E241" s="95"/>
    </row>
    <row r="242" spans="4:5" x14ac:dyDescent="0.2">
      <c r="D242" s="95"/>
      <c r="E242" s="95"/>
    </row>
    <row r="243" spans="4:5" x14ac:dyDescent="0.2">
      <c r="D243" s="95"/>
      <c r="E243" s="95"/>
    </row>
    <row r="244" spans="4:5" x14ac:dyDescent="0.2">
      <c r="D244" s="95"/>
      <c r="E244" s="95"/>
    </row>
    <row r="245" spans="4:5" x14ac:dyDescent="0.2">
      <c r="D245" s="95"/>
      <c r="E245" s="95"/>
    </row>
    <row r="246" spans="4:5" x14ac:dyDescent="0.2">
      <c r="D246" s="95"/>
      <c r="E246" s="95"/>
    </row>
    <row r="247" spans="4:5" x14ac:dyDescent="0.2">
      <c r="D247" s="95"/>
      <c r="E247" s="95"/>
    </row>
    <row r="248" spans="4:5" x14ac:dyDescent="0.2">
      <c r="D248" s="95"/>
      <c r="E248" s="95"/>
    </row>
    <row r="249" spans="4:5" x14ac:dyDescent="0.2">
      <c r="D249" s="95"/>
      <c r="E249" s="95"/>
    </row>
    <row r="250" spans="4:5" x14ac:dyDescent="0.2">
      <c r="D250" s="95"/>
      <c r="E250" s="95"/>
    </row>
    <row r="251" spans="4:5" x14ac:dyDescent="0.2">
      <c r="D251" s="95"/>
      <c r="E251" s="95"/>
    </row>
    <row r="252" spans="4:5" x14ac:dyDescent="0.2">
      <c r="D252" s="95"/>
      <c r="E252" s="95"/>
    </row>
    <row r="253" spans="4:5" x14ac:dyDescent="0.2">
      <c r="D253" s="95"/>
      <c r="E253" s="95"/>
    </row>
    <row r="254" spans="4:5" x14ac:dyDescent="0.2">
      <c r="D254" s="95"/>
      <c r="E254" s="95"/>
    </row>
    <row r="255" spans="4:5" x14ac:dyDescent="0.2">
      <c r="D255" s="95"/>
      <c r="E255" s="95"/>
    </row>
    <row r="256" spans="4:5" x14ac:dyDescent="0.2">
      <c r="D256" s="95"/>
      <c r="E256" s="95"/>
    </row>
    <row r="257" spans="4:5" x14ac:dyDescent="0.2">
      <c r="D257" s="95"/>
      <c r="E257" s="95"/>
    </row>
    <row r="258" spans="4:5" x14ac:dyDescent="0.2">
      <c r="D258" s="95"/>
      <c r="E258" s="95"/>
    </row>
    <row r="259" spans="4:5" x14ac:dyDescent="0.2">
      <c r="D259" s="95"/>
      <c r="E259" s="95"/>
    </row>
    <row r="260" spans="4:5" x14ac:dyDescent="0.2">
      <c r="D260" s="95"/>
      <c r="E260" s="95"/>
    </row>
    <row r="261" spans="4:5" x14ac:dyDescent="0.2">
      <c r="D261" s="95"/>
      <c r="E261" s="95"/>
    </row>
    <row r="262" spans="4:5" x14ac:dyDescent="0.2">
      <c r="D262" s="95"/>
      <c r="E262" s="95"/>
    </row>
    <row r="263" spans="4:5" x14ac:dyDescent="0.2">
      <c r="D263" s="95"/>
      <c r="E263" s="95"/>
    </row>
    <row r="264" spans="4:5" x14ac:dyDescent="0.2">
      <c r="D264" s="95"/>
      <c r="E264" s="95"/>
    </row>
    <row r="265" spans="4:5" x14ac:dyDescent="0.2">
      <c r="D265" s="95"/>
      <c r="E265" s="95"/>
    </row>
    <row r="266" spans="4:5" x14ac:dyDescent="0.2">
      <c r="D266" s="95"/>
      <c r="E266" s="95"/>
    </row>
    <row r="267" spans="4:5" x14ac:dyDescent="0.2">
      <c r="D267" s="95"/>
      <c r="E267" s="95"/>
    </row>
    <row r="268" spans="4:5" x14ac:dyDescent="0.2">
      <c r="D268" s="95"/>
      <c r="E268" s="95"/>
    </row>
    <row r="269" spans="4:5" x14ac:dyDescent="0.2">
      <c r="D269" s="95"/>
      <c r="E269" s="95"/>
    </row>
    <row r="270" spans="4:5" x14ac:dyDescent="0.2">
      <c r="D270" s="95"/>
      <c r="E270" s="95"/>
    </row>
    <row r="271" spans="4:5" x14ac:dyDescent="0.2">
      <c r="D271" s="95"/>
      <c r="E271" s="95"/>
    </row>
    <row r="272" spans="4:5" x14ac:dyDescent="0.2">
      <c r="D272" s="95"/>
      <c r="E272" s="95"/>
    </row>
    <row r="273" spans="4:5" x14ac:dyDescent="0.2">
      <c r="D273" s="95"/>
      <c r="E273" s="95"/>
    </row>
    <row r="274" spans="4:5" x14ac:dyDescent="0.2">
      <c r="D274" s="95"/>
      <c r="E274" s="95"/>
    </row>
    <row r="275" spans="4:5" x14ac:dyDescent="0.2">
      <c r="D275" s="95"/>
      <c r="E275" s="95"/>
    </row>
    <row r="276" spans="4:5" x14ac:dyDescent="0.2">
      <c r="D276" s="95"/>
      <c r="E276" s="95"/>
    </row>
    <row r="277" spans="4:5" x14ac:dyDescent="0.2">
      <c r="D277" s="95"/>
      <c r="E277" s="95"/>
    </row>
    <row r="278" spans="4:5" x14ac:dyDescent="0.2">
      <c r="D278" s="95"/>
      <c r="E278" s="95"/>
    </row>
    <row r="279" spans="4:5" x14ac:dyDescent="0.2">
      <c r="D279" s="95"/>
      <c r="E279" s="95"/>
    </row>
    <row r="280" spans="4:5" x14ac:dyDescent="0.2">
      <c r="D280" s="95"/>
      <c r="E280" s="95"/>
    </row>
    <row r="281" spans="4:5" x14ac:dyDescent="0.2">
      <c r="D281" s="95"/>
      <c r="E281" s="95"/>
    </row>
    <row r="282" spans="4:5" x14ac:dyDescent="0.2">
      <c r="D282" s="95"/>
      <c r="E282" s="95"/>
    </row>
    <row r="283" spans="4:5" x14ac:dyDescent="0.2">
      <c r="D283" s="95"/>
      <c r="E283" s="95"/>
    </row>
    <row r="284" spans="4:5" x14ac:dyDescent="0.2">
      <c r="D284" s="95"/>
      <c r="E284" s="95"/>
    </row>
    <row r="285" spans="4:5" x14ac:dyDescent="0.2">
      <c r="D285" s="95"/>
      <c r="E285" s="95"/>
    </row>
    <row r="286" spans="4:5" x14ac:dyDescent="0.2">
      <c r="D286" s="95"/>
      <c r="E286" s="95"/>
    </row>
    <row r="287" spans="4:5" x14ac:dyDescent="0.2">
      <c r="D287" s="95"/>
      <c r="E287" s="95"/>
    </row>
    <row r="288" spans="4:5" x14ac:dyDescent="0.2">
      <c r="D288" s="95"/>
      <c r="E288" s="95"/>
    </row>
    <row r="289" spans="4:5" x14ac:dyDescent="0.2">
      <c r="D289" s="95"/>
      <c r="E289" s="95"/>
    </row>
    <row r="290" spans="4:5" x14ac:dyDescent="0.2">
      <c r="D290" s="95"/>
      <c r="E290" s="95"/>
    </row>
    <row r="291" spans="4:5" x14ac:dyDescent="0.2">
      <c r="D291" s="95"/>
      <c r="E291" s="95"/>
    </row>
    <row r="292" spans="4:5" x14ac:dyDescent="0.2">
      <c r="D292" s="95"/>
      <c r="E292" s="95"/>
    </row>
    <row r="293" spans="4:5" x14ac:dyDescent="0.2">
      <c r="D293" s="95"/>
      <c r="E293" s="95"/>
    </row>
    <row r="294" spans="4:5" x14ac:dyDescent="0.2">
      <c r="D294" s="95"/>
      <c r="E294" s="95"/>
    </row>
    <row r="295" spans="4:5" x14ac:dyDescent="0.2">
      <c r="D295" s="95"/>
      <c r="E295" s="95"/>
    </row>
    <row r="296" spans="4:5" x14ac:dyDescent="0.2">
      <c r="D296" s="95"/>
      <c r="E296" s="95"/>
    </row>
    <row r="297" spans="4:5" x14ac:dyDescent="0.2">
      <c r="D297" s="95"/>
      <c r="E297" s="95"/>
    </row>
    <row r="298" spans="4:5" x14ac:dyDescent="0.2">
      <c r="D298" s="95"/>
      <c r="E298" s="95"/>
    </row>
    <row r="299" spans="4:5" x14ac:dyDescent="0.2">
      <c r="D299" s="95"/>
      <c r="E299" s="95"/>
    </row>
    <row r="300" spans="4:5" x14ac:dyDescent="0.2">
      <c r="D300" s="95"/>
      <c r="E300" s="95"/>
    </row>
    <row r="301" spans="4:5" x14ac:dyDescent="0.2">
      <c r="D301" s="95"/>
      <c r="E301" s="95"/>
    </row>
    <row r="302" spans="4:5" x14ac:dyDescent="0.2">
      <c r="D302" s="95"/>
      <c r="E302" s="95"/>
    </row>
    <row r="303" spans="4:5" x14ac:dyDescent="0.2">
      <c r="D303" s="95"/>
      <c r="E303" s="95"/>
    </row>
    <row r="304" spans="4:5" x14ac:dyDescent="0.2">
      <c r="D304" s="95"/>
      <c r="E304" s="95"/>
    </row>
    <row r="305" spans="4:5" x14ac:dyDescent="0.2">
      <c r="D305" s="95"/>
      <c r="E305" s="95"/>
    </row>
    <row r="306" spans="4:5" x14ac:dyDescent="0.2">
      <c r="D306" s="95"/>
      <c r="E306" s="95"/>
    </row>
    <row r="307" spans="4:5" x14ac:dyDescent="0.2">
      <c r="D307" s="95"/>
      <c r="E307" s="95"/>
    </row>
    <row r="308" spans="4:5" x14ac:dyDescent="0.2">
      <c r="D308" s="95"/>
      <c r="E308" s="95"/>
    </row>
    <row r="309" spans="4:5" x14ac:dyDescent="0.2">
      <c r="D309" s="95"/>
      <c r="E309" s="95"/>
    </row>
    <row r="310" spans="4:5" x14ac:dyDescent="0.2">
      <c r="D310" s="95"/>
      <c r="E310" s="95"/>
    </row>
    <row r="311" spans="4:5" x14ac:dyDescent="0.2">
      <c r="D311" s="95"/>
      <c r="E311" s="95"/>
    </row>
    <row r="312" spans="4:5" x14ac:dyDescent="0.2">
      <c r="D312" s="95"/>
      <c r="E312" s="95"/>
    </row>
    <row r="313" spans="4:5" x14ac:dyDescent="0.2">
      <c r="D313" s="95"/>
      <c r="E313" s="95"/>
    </row>
    <row r="314" spans="4:5" x14ac:dyDescent="0.2">
      <c r="D314" s="95"/>
      <c r="E314" s="95"/>
    </row>
    <row r="315" spans="4:5" x14ac:dyDescent="0.2">
      <c r="D315" s="95"/>
      <c r="E315" s="95"/>
    </row>
    <row r="316" spans="4:5" x14ac:dyDescent="0.2">
      <c r="D316" s="95"/>
      <c r="E316" s="95"/>
    </row>
    <row r="317" spans="4:5" x14ac:dyDescent="0.2">
      <c r="D317" s="95"/>
      <c r="E317" s="95"/>
    </row>
    <row r="318" spans="4:5" x14ac:dyDescent="0.2">
      <c r="D318" s="95"/>
      <c r="E318" s="95"/>
    </row>
    <row r="319" spans="4:5" x14ac:dyDescent="0.2">
      <c r="D319" s="95"/>
      <c r="E319" s="95"/>
    </row>
    <row r="320" spans="4:5" x14ac:dyDescent="0.2">
      <c r="D320" s="95"/>
      <c r="E320" s="95"/>
    </row>
    <row r="321" spans="4:5" x14ac:dyDescent="0.2">
      <c r="D321" s="95"/>
      <c r="E321" s="95"/>
    </row>
    <row r="322" spans="4:5" x14ac:dyDescent="0.2">
      <c r="D322" s="95"/>
      <c r="E322" s="95"/>
    </row>
    <row r="323" spans="4:5" x14ac:dyDescent="0.2">
      <c r="D323" s="95"/>
      <c r="E323" s="95"/>
    </row>
    <row r="324" spans="4:5" x14ac:dyDescent="0.2">
      <c r="D324" s="95"/>
      <c r="E324" s="95"/>
    </row>
    <row r="325" spans="4:5" x14ac:dyDescent="0.2">
      <c r="D325" s="95"/>
      <c r="E325" s="95"/>
    </row>
    <row r="326" spans="4:5" x14ac:dyDescent="0.2">
      <c r="D326" s="95"/>
      <c r="E326" s="95"/>
    </row>
    <row r="327" spans="4:5" x14ac:dyDescent="0.2">
      <c r="D327" s="95"/>
      <c r="E327" s="95"/>
    </row>
    <row r="328" spans="4:5" x14ac:dyDescent="0.2">
      <c r="D328" s="95"/>
      <c r="E328" s="95"/>
    </row>
    <row r="329" spans="4:5" x14ac:dyDescent="0.2">
      <c r="D329" s="95"/>
      <c r="E329" s="95"/>
    </row>
    <row r="330" spans="4:5" x14ac:dyDescent="0.2">
      <c r="D330" s="95"/>
      <c r="E330" s="95"/>
    </row>
    <row r="331" spans="4:5" x14ac:dyDescent="0.2">
      <c r="D331" s="95"/>
      <c r="E331" s="95"/>
    </row>
    <row r="332" spans="4:5" x14ac:dyDescent="0.2">
      <c r="D332" s="95"/>
      <c r="E332" s="95"/>
    </row>
    <row r="333" spans="4:5" x14ac:dyDescent="0.2">
      <c r="D333" s="95"/>
      <c r="E333" s="95"/>
    </row>
    <row r="334" spans="4:5" x14ac:dyDescent="0.2">
      <c r="D334" s="95"/>
      <c r="E334" s="95"/>
    </row>
    <row r="335" spans="4:5" x14ac:dyDescent="0.2">
      <c r="D335" s="95"/>
      <c r="E335" s="95"/>
    </row>
    <row r="336" spans="4:5" x14ac:dyDescent="0.2">
      <c r="D336" s="95"/>
      <c r="E336" s="95"/>
    </row>
    <row r="337" spans="4:5" x14ac:dyDescent="0.2">
      <c r="D337" s="95"/>
      <c r="E337" s="95"/>
    </row>
    <row r="338" spans="4:5" x14ac:dyDescent="0.2">
      <c r="D338" s="95"/>
      <c r="E338" s="95"/>
    </row>
    <row r="339" spans="4:5" x14ac:dyDescent="0.2">
      <c r="D339" s="95"/>
      <c r="E339" s="95"/>
    </row>
    <row r="340" spans="4:5" x14ac:dyDescent="0.2">
      <c r="D340" s="95"/>
      <c r="E340" s="95"/>
    </row>
    <row r="341" spans="4:5" x14ac:dyDescent="0.2">
      <c r="D341" s="95"/>
      <c r="E341" s="95"/>
    </row>
    <row r="342" spans="4:5" x14ac:dyDescent="0.2">
      <c r="D342" s="95"/>
      <c r="E342" s="95"/>
    </row>
    <row r="343" spans="4:5" x14ac:dyDescent="0.2">
      <c r="D343" s="95"/>
      <c r="E343" s="95"/>
    </row>
    <row r="344" spans="4:5" x14ac:dyDescent="0.2">
      <c r="D344" s="95"/>
      <c r="E344" s="95"/>
    </row>
    <row r="345" spans="4:5" x14ac:dyDescent="0.2">
      <c r="D345" s="95"/>
      <c r="E345" s="95"/>
    </row>
    <row r="346" spans="4:5" x14ac:dyDescent="0.2">
      <c r="D346" s="95"/>
      <c r="E346" s="95"/>
    </row>
    <row r="347" spans="4:5" x14ac:dyDescent="0.2">
      <c r="D347" s="95"/>
      <c r="E347" s="95"/>
    </row>
    <row r="348" spans="4:5" x14ac:dyDescent="0.2">
      <c r="D348" s="95"/>
      <c r="E348" s="95"/>
    </row>
    <row r="349" spans="4:5" x14ac:dyDescent="0.2">
      <c r="D349" s="95"/>
      <c r="E349" s="95"/>
    </row>
    <row r="350" spans="4:5" x14ac:dyDescent="0.2">
      <c r="D350" s="95"/>
      <c r="E350" s="95"/>
    </row>
    <row r="351" spans="4:5" x14ac:dyDescent="0.2">
      <c r="D351" s="95"/>
      <c r="E351" s="95"/>
    </row>
    <row r="352" spans="4:5" x14ac:dyDescent="0.2">
      <c r="D352" s="95"/>
      <c r="E352" s="95"/>
    </row>
    <row r="353" spans="4:5" x14ac:dyDescent="0.2">
      <c r="D353" s="95"/>
      <c r="E353" s="95"/>
    </row>
    <row r="354" spans="4:5" x14ac:dyDescent="0.2">
      <c r="D354" s="95"/>
      <c r="E354" s="95"/>
    </row>
    <row r="355" spans="4:5" x14ac:dyDescent="0.2">
      <c r="D355" s="95"/>
      <c r="E355" s="95"/>
    </row>
    <row r="356" spans="4:5" x14ac:dyDescent="0.2">
      <c r="D356" s="95"/>
      <c r="E356" s="95"/>
    </row>
    <row r="357" spans="4:5" x14ac:dyDescent="0.2">
      <c r="D357" s="95"/>
      <c r="E357" s="95"/>
    </row>
    <row r="358" spans="4:5" x14ac:dyDescent="0.2">
      <c r="D358" s="95"/>
      <c r="E358" s="95"/>
    </row>
    <row r="359" spans="4:5" x14ac:dyDescent="0.2">
      <c r="D359" s="95"/>
      <c r="E359" s="95"/>
    </row>
    <row r="360" spans="4:5" x14ac:dyDescent="0.2">
      <c r="D360" s="95"/>
      <c r="E360" s="95"/>
    </row>
    <row r="361" spans="4:5" x14ac:dyDescent="0.2">
      <c r="D361" s="95"/>
      <c r="E361" s="95"/>
    </row>
    <row r="362" spans="4:5" x14ac:dyDescent="0.2">
      <c r="D362" s="95"/>
      <c r="E362" s="95"/>
    </row>
    <row r="363" spans="4:5" x14ac:dyDescent="0.2">
      <c r="D363" s="95"/>
      <c r="E363" s="95"/>
    </row>
    <row r="364" spans="4:5" x14ac:dyDescent="0.2">
      <c r="D364" s="95"/>
      <c r="E364" s="95"/>
    </row>
    <row r="365" spans="4:5" x14ac:dyDescent="0.2">
      <c r="D365" s="95"/>
      <c r="E365" s="95"/>
    </row>
    <row r="366" spans="4:5" x14ac:dyDescent="0.2">
      <c r="D366" s="95"/>
      <c r="E366" s="95"/>
    </row>
    <row r="367" spans="4:5" x14ac:dyDescent="0.2">
      <c r="D367" s="95"/>
      <c r="E367" s="95"/>
    </row>
    <row r="368" spans="4:5" x14ac:dyDescent="0.2">
      <c r="D368" s="95"/>
      <c r="E368" s="95"/>
    </row>
    <row r="369" spans="4:5" x14ac:dyDescent="0.2">
      <c r="D369" s="95"/>
      <c r="E369" s="95"/>
    </row>
    <row r="370" spans="4:5" x14ac:dyDescent="0.2">
      <c r="D370" s="95"/>
      <c r="E370" s="95"/>
    </row>
    <row r="371" spans="4:5" x14ac:dyDescent="0.2">
      <c r="D371" s="95"/>
      <c r="E371" s="95"/>
    </row>
    <row r="372" spans="4:5" x14ac:dyDescent="0.2">
      <c r="D372" s="95"/>
      <c r="E372" s="95"/>
    </row>
    <row r="373" spans="4:5" x14ac:dyDescent="0.2">
      <c r="D373" s="95"/>
      <c r="E373" s="95"/>
    </row>
    <row r="374" spans="4:5" x14ac:dyDescent="0.2">
      <c r="D374" s="95"/>
      <c r="E374" s="95"/>
    </row>
    <row r="375" spans="4:5" x14ac:dyDescent="0.2">
      <c r="D375" s="95"/>
      <c r="E375" s="95"/>
    </row>
    <row r="376" spans="4:5" x14ac:dyDescent="0.2">
      <c r="D376" s="95"/>
      <c r="E376" s="95"/>
    </row>
    <row r="377" spans="4:5" x14ac:dyDescent="0.2">
      <c r="D377" s="95"/>
      <c r="E377" s="95"/>
    </row>
    <row r="378" spans="4:5" x14ac:dyDescent="0.2">
      <c r="D378" s="95"/>
      <c r="E378" s="95"/>
    </row>
    <row r="379" spans="4:5" x14ac:dyDescent="0.2">
      <c r="D379" s="95"/>
      <c r="E379" s="95"/>
    </row>
    <row r="380" spans="4:5" x14ac:dyDescent="0.2">
      <c r="D380" s="95"/>
      <c r="E380" s="95"/>
    </row>
    <row r="381" spans="4:5" x14ac:dyDescent="0.2">
      <c r="D381" s="95"/>
      <c r="E381" s="95"/>
    </row>
    <row r="382" spans="4:5" x14ac:dyDescent="0.2">
      <c r="D382" s="95"/>
      <c r="E382" s="95"/>
    </row>
    <row r="383" spans="4:5" x14ac:dyDescent="0.2">
      <c r="D383" s="95"/>
      <c r="E383" s="95"/>
    </row>
    <row r="384" spans="4:5" x14ac:dyDescent="0.2">
      <c r="D384" s="95"/>
      <c r="E384" s="95"/>
    </row>
    <row r="385" spans="4:5" x14ac:dyDescent="0.2">
      <c r="D385" s="95"/>
      <c r="E385" s="95"/>
    </row>
    <row r="386" spans="4:5" x14ac:dyDescent="0.2">
      <c r="D386" s="95"/>
      <c r="E386" s="95"/>
    </row>
    <row r="387" spans="4:5" x14ac:dyDescent="0.2">
      <c r="D387" s="95"/>
      <c r="E387" s="95"/>
    </row>
    <row r="388" spans="4:5" x14ac:dyDescent="0.2">
      <c r="D388" s="95"/>
      <c r="E388" s="95"/>
    </row>
    <row r="389" spans="4:5" x14ac:dyDescent="0.2">
      <c r="D389" s="95"/>
      <c r="E389" s="95"/>
    </row>
    <row r="390" spans="4:5" x14ac:dyDescent="0.2">
      <c r="D390" s="95"/>
      <c r="E390" s="95"/>
    </row>
    <row r="391" spans="4:5" x14ac:dyDescent="0.2">
      <c r="D391" s="95"/>
      <c r="E391" s="95"/>
    </row>
    <row r="392" spans="4:5" x14ac:dyDescent="0.2">
      <c r="D392" s="95"/>
      <c r="E392" s="95"/>
    </row>
    <row r="393" spans="4:5" x14ac:dyDescent="0.2">
      <c r="D393" s="95"/>
      <c r="E393" s="95"/>
    </row>
    <row r="394" spans="4:5" x14ac:dyDescent="0.2">
      <c r="D394" s="95"/>
      <c r="E394" s="95"/>
    </row>
    <row r="395" spans="4:5" x14ac:dyDescent="0.2">
      <c r="D395" s="95"/>
      <c r="E395" s="95"/>
    </row>
    <row r="396" spans="4:5" x14ac:dyDescent="0.2">
      <c r="D396" s="95"/>
      <c r="E396" s="95"/>
    </row>
    <row r="397" spans="4:5" x14ac:dyDescent="0.2">
      <c r="D397" s="95"/>
      <c r="E397" s="95"/>
    </row>
    <row r="398" spans="4:5" x14ac:dyDescent="0.2">
      <c r="D398" s="95"/>
      <c r="E398" s="95"/>
    </row>
    <row r="399" spans="4:5" x14ac:dyDescent="0.2">
      <c r="D399" s="95"/>
      <c r="E399" s="95"/>
    </row>
    <row r="400" spans="4:5" x14ac:dyDescent="0.2">
      <c r="D400" s="95"/>
      <c r="E400" s="95"/>
    </row>
    <row r="401" spans="4:5" x14ac:dyDescent="0.2">
      <c r="D401" s="95"/>
      <c r="E401" s="95"/>
    </row>
    <row r="402" spans="4:5" x14ac:dyDescent="0.2">
      <c r="D402" s="95"/>
      <c r="E402" s="95"/>
    </row>
    <row r="403" spans="4:5" x14ac:dyDescent="0.2">
      <c r="D403" s="95"/>
      <c r="E403" s="95"/>
    </row>
    <row r="404" spans="4:5" x14ac:dyDescent="0.2">
      <c r="D404" s="95"/>
      <c r="E404" s="95"/>
    </row>
    <row r="405" spans="4:5" x14ac:dyDescent="0.2">
      <c r="D405" s="95"/>
      <c r="E405" s="95"/>
    </row>
    <row r="406" spans="4:5" x14ac:dyDescent="0.2">
      <c r="D406" s="95"/>
      <c r="E406" s="95"/>
    </row>
    <row r="407" spans="4:5" x14ac:dyDescent="0.2">
      <c r="D407" s="95"/>
      <c r="E407" s="95"/>
    </row>
    <row r="408" spans="4:5" x14ac:dyDescent="0.2">
      <c r="D408" s="95"/>
      <c r="E408" s="95"/>
    </row>
    <row r="409" spans="4:5" x14ac:dyDescent="0.2">
      <c r="D409" s="95"/>
      <c r="E409" s="95"/>
    </row>
    <row r="410" spans="4:5" x14ac:dyDescent="0.2">
      <c r="D410" s="95"/>
      <c r="E410" s="95"/>
    </row>
    <row r="411" spans="4:5" x14ac:dyDescent="0.2">
      <c r="D411" s="95"/>
      <c r="E411" s="95"/>
    </row>
    <row r="412" spans="4:5" x14ac:dyDescent="0.2">
      <c r="D412" s="95"/>
      <c r="E412" s="95"/>
    </row>
    <row r="413" spans="4:5" x14ac:dyDescent="0.2">
      <c r="D413" s="95"/>
      <c r="E413" s="95"/>
    </row>
    <row r="414" spans="4:5" x14ac:dyDescent="0.2">
      <c r="D414" s="95"/>
      <c r="E414" s="95"/>
    </row>
    <row r="415" spans="4:5" x14ac:dyDescent="0.2">
      <c r="D415" s="95"/>
      <c r="E415" s="95"/>
    </row>
    <row r="416" spans="4:5" x14ac:dyDescent="0.2">
      <c r="D416" s="95"/>
      <c r="E416" s="95"/>
    </row>
    <row r="417" spans="4:5" x14ac:dyDescent="0.2">
      <c r="D417" s="95"/>
      <c r="E417" s="95"/>
    </row>
    <row r="418" spans="4:5" x14ac:dyDescent="0.2">
      <c r="D418" s="95"/>
      <c r="E418" s="95"/>
    </row>
    <row r="419" spans="4:5" x14ac:dyDescent="0.2">
      <c r="D419" s="95"/>
      <c r="E419" s="95"/>
    </row>
    <row r="420" spans="4:5" x14ac:dyDescent="0.2">
      <c r="D420" s="95"/>
      <c r="E420" s="95"/>
    </row>
    <row r="421" spans="4:5" x14ac:dyDescent="0.2">
      <c r="D421" s="95"/>
      <c r="E421" s="95"/>
    </row>
    <row r="422" spans="4:5" x14ac:dyDescent="0.2">
      <c r="D422" s="95"/>
      <c r="E422" s="95"/>
    </row>
    <row r="423" spans="4:5" x14ac:dyDescent="0.2">
      <c r="D423" s="95"/>
      <c r="E423" s="95"/>
    </row>
    <row r="424" spans="4:5" x14ac:dyDescent="0.2">
      <c r="D424" s="95"/>
      <c r="E424" s="95"/>
    </row>
    <row r="425" spans="4:5" x14ac:dyDescent="0.2">
      <c r="D425" s="95"/>
      <c r="E425" s="95"/>
    </row>
    <row r="426" spans="4:5" x14ac:dyDescent="0.2">
      <c r="D426" s="95"/>
      <c r="E426" s="95"/>
    </row>
    <row r="427" spans="4:5" x14ac:dyDescent="0.2">
      <c r="D427" s="95"/>
      <c r="E427" s="95"/>
    </row>
    <row r="428" spans="4:5" x14ac:dyDescent="0.2">
      <c r="D428" s="95"/>
      <c r="E428" s="95"/>
    </row>
    <row r="429" spans="4:5" x14ac:dyDescent="0.2">
      <c r="D429" s="95"/>
      <c r="E429" s="95"/>
    </row>
    <row r="430" spans="4:5" x14ac:dyDescent="0.2">
      <c r="D430" s="95"/>
      <c r="E430" s="95"/>
    </row>
    <row r="431" spans="4:5" x14ac:dyDescent="0.2">
      <c r="D431" s="95"/>
      <c r="E431" s="95"/>
    </row>
    <row r="432" spans="4:5" x14ac:dyDescent="0.2">
      <c r="D432" s="95"/>
      <c r="E432" s="95"/>
    </row>
    <row r="433" spans="4:5" x14ac:dyDescent="0.2">
      <c r="D433" s="95"/>
      <c r="E433" s="95"/>
    </row>
    <row r="434" spans="4:5" x14ac:dyDescent="0.2">
      <c r="D434" s="95"/>
      <c r="E434" s="95"/>
    </row>
    <row r="435" spans="4:5" x14ac:dyDescent="0.2">
      <c r="D435" s="95"/>
      <c r="E435" s="95"/>
    </row>
    <row r="436" spans="4:5" x14ac:dyDescent="0.2">
      <c r="D436" s="95"/>
      <c r="E436" s="95"/>
    </row>
    <row r="437" spans="4:5" x14ac:dyDescent="0.2">
      <c r="D437" s="95"/>
      <c r="E437" s="95"/>
    </row>
    <row r="438" spans="4:5" x14ac:dyDescent="0.2">
      <c r="D438" s="95"/>
      <c r="E438" s="95"/>
    </row>
    <row r="439" spans="4:5" x14ac:dyDescent="0.2">
      <c r="D439" s="95"/>
      <c r="E439" s="95"/>
    </row>
    <row r="440" spans="4:5" x14ac:dyDescent="0.2">
      <c r="D440" s="95"/>
      <c r="E440" s="95"/>
    </row>
    <row r="441" spans="4:5" x14ac:dyDescent="0.2">
      <c r="D441" s="95"/>
      <c r="E441" s="95"/>
    </row>
    <row r="442" spans="4:5" x14ac:dyDescent="0.2">
      <c r="D442" s="95"/>
      <c r="E442" s="95"/>
    </row>
    <row r="443" spans="4:5" x14ac:dyDescent="0.2">
      <c r="D443" s="95"/>
      <c r="E443" s="95"/>
    </row>
    <row r="444" spans="4:5" x14ac:dyDescent="0.2">
      <c r="D444" s="95"/>
      <c r="E444" s="95"/>
    </row>
    <row r="445" spans="4:5" x14ac:dyDescent="0.2">
      <c r="D445" s="95"/>
      <c r="E445" s="95"/>
    </row>
    <row r="446" spans="4:5" x14ac:dyDescent="0.2">
      <c r="D446" s="95"/>
      <c r="E446" s="95"/>
    </row>
    <row r="447" spans="4:5" x14ac:dyDescent="0.2">
      <c r="D447" s="95"/>
      <c r="E447" s="95"/>
    </row>
    <row r="448" spans="4:5" x14ac:dyDescent="0.2">
      <c r="D448" s="95"/>
      <c r="E448" s="95"/>
    </row>
    <row r="449" spans="4:5" x14ac:dyDescent="0.2">
      <c r="D449" s="95"/>
      <c r="E449" s="95"/>
    </row>
    <row r="450" spans="4:5" x14ac:dyDescent="0.2">
      <c r="D450" s="95"/>
      <c r="E450" s="95"/>
    </row>
    <row r="451" spans="4:5" x14ac:dyDescent="0.2">
      <c r="D451" s="95"/>
      <c r="E451" s="95"/>
    </row>
    <row r="452" spans="4:5" x14ac:dyDescent="0.2">
      <c r="D452" s="95"/>
      <c r="E452" s="95"/>
    </row>
    <row r="453" spans="4:5" x14ac:dyDescent="0.2">
      <c r="D453" s="95"/>
      <c r="E453" s="95"/>
    </row>
    <row r="454" spans="4:5" x14ac:dyDescent="0.2">
      <c r="D454" s="95"/>
      <c r="E454" s="95"/>
    </row>
    <row r="455" spans="4:5" x14ac:dyDescent="0.2">
      <c r="D455" s="95"/>
      <c r="E455" s="95"/>
    </row>
    <row r="456" spans="4:5" x14ac:dyDescent="0.2">
      <c r="D456" s="95"/>
      <c r="E456" s="95"/>
    </row>
    <row r="457" spans="4:5" x14ac:dyDescent="0.2">
      <c r="D457" s="95"/>
      <c r="E457" s="95"/>
    </row>
    <row r="458" spans="4:5" x14ac:dyDescent="0.2">
      <c r="D458" s="95"/>
      <c r="E458" s="95"/>
    </row>
    <row r="459" spans="4:5" x14ac:dyDescent="0.2">
      <c r="D459" s="95"/>
      <c r="E459" s="95"/>
    </row>
    <row r="460" spans="4:5" x14ac:dyDescent="0.2">
      <c r="D460" s="95"/>
      <c r="E460" s="95"/>
    </row>
    <row r="461" spans="4:5" x14ac:dyDescent="0.2">
      <c r="D461" s="95"/>
      <c r="E461" s="95"/>
    </row>
    <row r="462" spans="4:5" x14ac:dyDescent="0.2">
      <c r="D462" s="95"/>
      <c r="E462" s="95"/>
    </row>
    <row r="463" spans="4:5" x14ac:dyDescent="0.2">
      <c r="D463" s="95"/>
      <c r="E463" s="95"/>
    </row>
    <row r="464" spans="4:5" x14ac:dyDescent="0.2">
      <c r="D464" s="95"/>
      <c r="E464" s="95"/>
    </row>
    <row r="465" spans="4:5" x14ac:dyDescent="0.2">
      <c r="D465" s="95"/>
      <c r="E465" s="95"/>
    </row>
    <row r="466" spans="4:5" x14ac:dyDescent="0.2">
      <c r="D466" s="95"/>
      <c r="E466" s="95"/>
    </row>
    <row r="467" spans="4:5" x14ac:dyDescent="0.2">
      <c r="D467" s="95"/>
      <c r="E467" s="95"/>
    </row>
    <row r="468" spans="4:5" x14ac:dyDescent="0.2">
      <c r="D468" s="95"/>
      <c r="E468" s="95"/>
    </row>
    <row r="469" spans="4:5" x14ac:dyDescent="0.2">
      <c r="D469" s="95"/>
      <c r="E469" s="95"/>
    </row>
    <row r="470" spans="4:5" x14ac:dyDescent="0.2">
      <c r="D470" s="95"/>
      <c r="E470" s="95"/>
    </row>
    <row r="471" spans="4:5" x14ac:dyDescent="0.2">
      <c r="D471" s="95"/>
      <c r="E471" s="95"/>
    </row>
    <row r="472" spans="4:5" x14ac:dyDescent="0.2">
      <c r="D472" s="95"/>
      <c r="E472" s="95"/>
    </row>
    <row r="473" spans="4:5" x14ac:dyDescent="0.2">
      <c r="D473" s="95"/>
      <c r="E473" s="95"/>
    </row>
    <row r="474" spans="4:5" x14ac:dyDescent="0.2">
      <c r="D474" s="95"/>
      <c r="E474" s="95"/>
    </row>
    <row r="475" spans="4:5" x14ac:dyDescent="0.2">
      <c r="D475" s="95"/>
      <c r="E475" s="95"/>
    </row>
    <row r="476" spans="4:5" x14ac:dyDescent="0.2">
      <c r="D476" s="95"/>
      <c r="E476" s="95"/>
    </row>
    <row r="477" spans="4:5" x14ac:dyDescent="0.2">
      <c r="D477" s="95"/>
      <c r="E477" s="95"/>
    </row>
    <row r="478" spans="4:5" x14ac:dyDescent="0.2">
      <c r="D478" s="95"/>
      <c r="E478" s="95"/>
    </row>
    <row r="479" spans="4:5" x14ac:dyDescent="0.2">
      <c r="D479" s="95"/>
      <c r="E479" s="95"/>
    </row>
    <row r="480" spans="4:5" x14ac:dyDescent="0.2">
      <c r="D480" s="95"/>
      <c r="E480" s="95"/>
    </row>
    <row r="481" spans="4:5" x14ac:dyDescent="0.2">
      <c r="D481" s="95"/>
      <c r="E481" s="95"/>
    </row>
    <row r="482" spans="4:5" x14ac:dyDescent="0.2">
      <c r="D482" s="95"/>
      <c r="E482" s="95"/>
    </row>
    <row r="483" spans="4:5" x14ac:dyDescent="0.2">
      <c r="D483" s="95"/>
      <c r="E483" s="95"/>
    </row>
    <row r="484" spans="4:5" x14ac:dyDescent="0.2">
      <c r="D484" s="95"/>
      <c r="E484" s="95"/>
    </row>
    <row r="485" spans="4:5" x14ac:dyDescent="0.2">
      <c r="D485" s="95"/>
      <c r="E485" s="95"/>
    </row>
    <row r="486" spans="4:5" x14ac:dyDescent="0.2">
      <c r="D486" s="95"/>
      <c r="E486" s="95"/>
    </row>
    <row r="487" spans="4:5" x14ac:dyDescent="0.2">
      <c r="D487" s="95"/>
      <c r="E487" s="95"/>
    </row>
    <row r="488" spans="4:5" x14ac:dyDescent="0.2">
      <c r="D488" s="95"/>
      <c r="E488" s="95"/>
    </row>
    <row r="489" spans="4:5" x14ac:dyDescent="0.2">
      <c r="D489" s="95"/>
      <c r="E489" s="95"/>
    </row>
    <row r="490" spans="4:5" x14ac:dyDescent="0.2">
      <c r="D490" s="95"/>
      <c r="E490" s="95"/>
    </row>
    <row r="491" spans="4:5" x14ac:dyDescent="0.2">
      <c r="D491" s="95"/>
      <c r="E491" s="95"/>
    </row>
    <row r="492" spans="4:5" x14ac:dyDescent="0.2">
      <c r="D492" s="95"/>
      <c r="E492" s="95"/>
    </row>
    <row r="493" spans="4:5" x14ac:dyDescent="0.2">
      <c r="D493" s="95"/>
      <c r="E493" s="95"/>
    </row>
    <row r="494" spans="4:5" x14ac:dyDescent="0.2">
      <c r="D494" s="95"/>
      <c r="E494" s="95"/>
    </row>
    <row r="495" spans="4:5" x14ac:dyDescent="0.2">
      <c r="D495" s="95"/>
      <c r="E495" s="95"/>
    </row>
    <row r="496" spans="4:5" x14ac:dyDescent="0.2">
      <c r="D496" s="95"/>
      <c r="E496" s="95"/>
    </row>
    <row r="497" spans="4:5" x14ac:dyDescent="0.2">
      <c r="D497" s="95"/>
      <c r="E497" s="95"/>
    </row>
    <row r="498" spans="4:5" x14ac:dyDescent="0.2">
      <c r="D498" s="95"/>
      <c r="E498" s="95"/>
    </row>
    <row r="499" spans="4:5" x14ac:dyDescent="0.2">
      <c r="D499" s="95"/>
      <c r="E499" s="95"/>
    </row>
    <row r="500" spans="4:5" x14ac:dyDescent="0.2">
      <c r="D500" s="95"/>
      <c r="E500" s="95"/>
    </row>
    <row r="501" spans="4:5" x14ac:dyDescent="0.2">
      <c r="D501" s="95"/>
      <c r="E501" s="95"/>
    </row>
    <row r="502" spans="4:5" x14ac:dyDescent="0.2">
      <c r="D502" s="95"/>
      <c r="E502" s="95"/>
    </row>
    <row r="503" spans="4:5" x14ac:dyDescent="0.2">
      <c r="D503" s="95"/>
      <c r="E503" s="95"/>
    </row>
    <row r="504" spans="4:5" x14ac:dyDescent="0.2">
      <c r="D504" s="95"/>
      <c r="E504" s="95"/>
    </row>
    <row r="505" spans="4:5" x14ac:dyDescent="0.2">
      <c r="D505" s="95"/>
      <c r="E505" s="95"/>
    </row>
    <row r="506" spans="4:5" x14ac:dyDescent="0.2">
      <c r="D506" s="95"/>
      <c r="E506" s="95"/>
    </row>
    <row r="507" spans="4:5" x14ac:dyDescent="0.2">
      <c r="D507" s="95"/>
      <c r="E507" s="95"/>
    </row>
    <row r="508" spans="4:5" x14ac:dyDescent="0.2">
      <c r="D508" s="95"/>
      <c r="E508" s="95"/>
    </row>
    <row r="509" spans="4:5" x14ac:dyDescent="0.2">
      <c r="D509" s="95"/>
      <c r="E509" s="95"/>
    </row>
    <row r="510" spans="4:5" x14ac:dyDescent="0.2">
      <c r="D510" s="95"/>
      <c r="E510" s="95"/>
    </row>
    <row r="511" spans="4:5" x14ac:dyDescent="0.2">
      <c r="D511" s="95"/>
      <c r="E511" s="95"/>
    </row>
    <row r="512" spans="4:5" x14ac:dyDescent="0.2">
      <c r="D512" s="95"/>
      <c r="E512" s="95"/>
    </row>
    <row r="513" spans="4:5" x14ac:dyDescent="0.2">
      <c r="D513" s="95"/>
      <c r="E513" s="95"/>
    </row>
    <row r="514" spans="4:5" x14ac:dyDescent="0.2">
      <c r="D514" s="95"/>
      <c r="E514" s="95"/>
    </row>
    <row r="515" spans="4:5" x14ac:dyDescent="0.2">
      <c r="D515" s="95"/>
      <c r="E515" s="95"/>
    </row>
    <row r="516" spans="4:5" x14ac:dyDescent="0.2">
      <c r="D516" s="95"/>
      <c r="E516" s="95"/>
    </row>
    <row r="517" spans="4:5" x14ac:dyDescent="0.2">
      <c r="D517" s="95"/>
      <c r="E517" s="95"/>
    </row>
    <row r="518" spans="4:5" x14ac:dyDescent="0.2">
      <c r="D518" s="95"/>
      <c r="E518" s="95"/>
    </row>
    <row r="519" spans="4:5" x14ac:dyDescent="0.2">
      <c r="D519" s="95"/>
      <c r="E519" s="95"/>
    </row>
    <row r="520" spans="4:5" x14ac:dyDescent="0.2">
      <c r="D520" s="95"/>
      <c r="E520" s="95"/>
    </row>
    <row r="521" spans="4:5" x14ac:dyDescent="0.2">
      <c r="D521" s="95"/>
      <c r="E521" s="95"/>
    </row>
    <row r="522" spans="4:5" x14ac:dyDescent="0.2">
      <c r="D522" s="95"/>
      <c r="E522" s="95"/>
    </row>
    <row r="523" spans="4:5" x14ac:dyDescent="0.2">
      <c r="D523" s="95"/>
      <c r="E523" s="95"/>
    </row>
    <row r="524" spans="4:5" x14ac:dyDescent="0.2">
      <c r="D524" s="95"/>
      <c r="E524" s="95"/>
    </row>
    <row r="525" spans="4:5" x14ac:dyDescent="0.2">
      <c r="D525" s="95"/>
      <c r="E525" s="95"/>
    </row>
    <row r="526" spans="4:5" x14ac:dyDescent="0.2">
      <c r="D526" s="95"/>
      <c r="E526" s="95"/>
    </row>
    <row r="527" spans="4:5" x14ac:dyDescent="0.2">
      <c r="D527" s="95"/>
      <c r="E527" s="95"/>
    </row>
    <row r="528" spans="4:5" x14ac:dyDescent="0.2">
      <c r="D528" s="95"/>
      <c r="E528" s="95"/>
    </row>
    <row r="529" spans="4:5" x14ac:dyDescent="0.2">
      <c r="D529" s="95"/>
      <c r="E529" s="95"/>
    </row>
    <row r="530" spans="4:5" x14ac:dyDescent="0.2">
      <c r="D530" s="95"/>
      <c r="E530" s="95"/>
    </row>
    <row r="531" spans="4:5" x14ac:dyDescent="0.2">
      <c r="D531" s="95"/>
      <c r="E531" s="95"/>
    </row>
    <row r="532" spans="4:5" x14ac:dyDescent="0.2">
      <c r="D532" s="95"/>
      <c r="E532" s="95"/>
    </row>
    <row r="533" spans="4:5" x14ac:dyDescent="0.2">
      <c r="D533" s="95"/>
      <c r="E533" s="95"/>
    </row>
    <row r="534" spans="4:5" x14ac:dyDescent="0.2">
      <c r="D534" s="95"/>
      <c r="E534" s="95"/>
    </row>
    <row r="535" spans="4:5" x14ac:dyDescent="0.2">
      <c r="D535" s="95"/>
      <c r="E535" s="95"/>
    </row>
    <row r="536" spans="4:5" x14ac:dyDescent="0.2">
      <c r="D536" s="95"/>
      <c r="E536" s="95"/>
    </row>
    <row r="537" spans="4:5" x14ac:dyDescent="0.2">
      <c r="D537" s="95"/>
      <c r="E537" s="95"/>
    </row>
    <row r="538" spans="4:5" x14ac:dyDescent="0.2">
      <c r="D538" s="95"/>
      <c r="E538" s="95"/>
    </row>
    <row r="539" spans="4:5" x14ac:dyDescent="0.2">
      <c r="D539" s="95"/>
      <c r="E539" s="95"/>
    </row>
    <row r="540" spans="4:5" x14ac:dyDescent="0.2">
      <c r="D540" s="95"/>
      <c r="E540" s="95"/>
    </row>
    <row r="541" spans="4:5" x14ac:dyDescent="0.2">
      <c r="D541" s="95"/>
      <c r="E541" s="95"/>
    </row>
    <row r="542" spans="4:5" x14ac:dyDescent="0.2">
      <c r="D542" s="95"/>
      <c r="E542" s="95"/>
    </row>
    <row r="543" spans="4:5" x14ac:dyDescent="0.2">
      <c r="D543" s="95"/>
      <c r="E543" s="95"/>
    </row>
    <row r="544" spans="4:5" x14ac:dyDescent="0.2">
      <c r="D544" s="95"/>
      <c r="E544" s="95"/>
    </row>
    <row r="545" spans="4:5" x14ac:dyDescent="0.2">
      <c r="D545" s="95"/>
      <c r="E545" s="95"/>
    </row>
    <row r="546" spans="4:5" x14ac:dyDescent="0.2">
      <c r="D546" s="95"/>
      <c r="E546" s="95"/>
    </row>
    <row r="547" spans="4:5" x14ac:dyDescent="0.2">
      <c r="D547" s="95"/>
      <c r="E547" s="95"/>
    </row>
    <row r="548" spans="4:5" x14ac:dyDescent="0.2">
      <c r="D548" s="95"/>
      <c r="E548" s="95"/>
    </row>
    <row r="549" spans="4:5" x14ac:dyDescent="0.2">
      <c r="D549" s="95"/>
      <c r="E549" s="95"/>
    </row>
    <row r="550" spans="4:5" x14ac:dyDescent="0.2">
      <c r="D550" s="95"/>
      <c r="E550" s="95"/>
    </row>
    <row r="551" spans="4:5" x14ac:dyDescent="0.2">
      <c r="D551" s="95"/>
      <c r="E551" s="95"/>
    </row>
    <row r="552" spans="4:5" x14ac:dyDescent="0.2">
      <c r="D552" s="95"/>
      <c r="E552" s="95"/>
    </row>
    <row r="553" spans="4:5" x14ac:dyDescent="0.2">
      <c r="D553" s="95"/>
      <c r="E553" s="95"/>
    </row>
    <row r="554" spans="4:5" x14ac:dyDescent="0.2">
      <c r="D554" s="95"/>
      <c r="E554" s="95"/>
    </row>
    <row r="555" spans="4:5" x14ac:dyDescent="0.2">
      <c r="D555" s="95"/>
      <c r="E555" s="95"/>
    </row>
    <row r="556" spans="4:5" x14ac:dyDescent="0.2">
      <c r="D556" s="95"/>
      <c r="E556" s="95"/>
    </row>
    <row r="557" spans="4:5" x14ac:dyDescent="0.2">
      <c r="D557" s="95"/>
      <c r="E557" s="95"/>
    </row>
    <row r="558" spans="4:5" x14ac:dyDescent="0.2">
      <c r="D558" s="95"/>
      <c r="E558" s="95"/>
    </row>
    <row r="559" spans="4:5" x14ac:dyDescent="0.2">
      <c r="D559" s="95"/>
      <c r="E559" s="95"/>
    </row>
    <row r="560" spans="4:5" x14ac:dyDescent="0.2">
      <c r="D560" s="95"/>
      <c r="E560" s="95"/>
    </row>
    <row r="561" spans="4:5" x14ac:dyDescent="0.2">
      <c r="D561" s="95"/>
      <c r="E561" s="95"/>
    </row>
    <row r="562" spans="4:5" x14ac:dyDescent="0.2">
      <c r="D562" s="95"/>
      <c r="E562" s="95"/>
    </row>
    <row r="563" spans="4:5" x14ac:dyDescent="0.2">
      <c r="D563" s="95"/>
      <c r="E563" s="95"/>
    </row>
    <row r="564" spans="4:5" x14ac:dyDescent="0.2">
      <c r="D564" s="95"/>
      <c r="E564" s="95"/>
    </row>
    <row r="565" spans="4:5" x14ac:dyDescent="0.2">
      <c r="D565" s="95"/>
      <c r="E565" s="95"/>
    </row>
    <row r="566" spans="4:5" x14ac:dyDescent="0.2">
      <c r="D566" s="95"/>
      <c r="E566" s="95"/>
    </row>
    <row r="567" spans="4:5" x14ac:dyDescent="0.2">
      <c r="D567" s="95"/>
      <c r="E567" s="95"/>
    </row>
    <row r="568" spans="4:5" x14ac:dyDescent="0.2">
      <c r="D568" s="95"/>
      <c r="E568" s="95"/>
    </row>
    <row r="569" spans="4:5" x14ac:dyDescent="0.2">
      <c r="D569" s="95"/>
      <c r="E569" s="95"/>
    </row>
    <row r="570" spans="4:5" x14ac:dyDescent="0.2">
      <c r="D570" s="95"/>
      <c r="E570" s="95"/>
    </row>
    <row r="571" spans="4:5" x14ac:dyDescent="0.2">
      <c r="D571" s="95"/>
      <c r="E571" s="95"/>
    </row>
    <row r="572" spans="4:5" x14ac:dyDescent="0.2">
      <c r="D572" s="95"/>
      <c r="E572" s="95"/>
    </row>
    <row r="573" spans="4:5" x14ac:dyDescent="0.2">
      <c r="D573" s="95"/>
      <c r="E573" s="95"/>
    </row>
    <row r="574" spans="4:5" x14ac:dyDescent="0.2">
      <c r="D574" s="95"/>
      <c r="E574" s="95"/>
    </row>
    <row r="575" spans="4:5" x14ac:dyDescent="0.2">
      <c r="D575" s="95"/>
      <c r="E575" s="95"/>
    </row>
    <row r="576" spans="4:5" x14ac:dyDescent="0.2">
      <c r="D576" s="95"/>
      <c r="E576" s="95"/>
    </row>
    <row r="577" spans="4:5" x14ac:dyDescent="0.2">
      <c r="D577" s="95"/>
      <c r="E577" s="95"/>
    </row>
    <row r="578" spans="4:5" x14ac:dyDescent="0.2">
      <c r="D578" s="95"/>
      <c r="E578" s="95"/>
    </row>
    <row r="579" spans="4:5" x14ac:dyDescent="0.2">
      <c r="D579" s="95"/>
      <c r="E579" s="95"/>
    </row>
    <row r="580" spans="4:5" x14ac:dyDescent="0.2">
      <c r="D580" s="95"/>
      <c r="E580" s="95"/>
    </row>
    <row r="581" spans="4:5" x14ac:dyDescent="0.2">
      <c r="D581" s="95"/>
      <c r="E581" s="95"/>
    </row>
    <row r="582" spans="4:5" x14ac:dyDescent="0.2">
      <c r="D582" s="95"/>
      <c r="E582" s="95"/>
    </row>
    <row r="583" spans="4:5" x14ac:dyDescent="0.2">
      <c r="D583" s="95"/>
      <c r="E583" s="95"/>
    </row>
    <row r="584" spans="4:5" x14ac:dyDescent="0.2">
      <c r="D584" s="95"/>
      <c r="E584" s="95"/>
    </row>
    <row r="585" spans="4:5" x14ac:dyDescent="0.2">
      <c r="D585" s="95"/>
      <c r="E585" s="95"/>
    </row>
    <row r="586" spans="4:5" x14ac:dyDescent="0.2">
      <c r="D586" s="95"/>
      <c r="E586" s="95"/>
    </row>
    <row r="587" spans="4:5" x14ac:dyDescent="0.2">
      <c r="D587" s="95"/>
      <c r="E587" s="95"/>
    </row>
    <row r="588" spans="4:5" x14ac:dyDescent="0.2">
      <c r="D588" s="95"/>
      <c r="E588" s="95"/>
    </row>
    <row r="589" spans="4:5" x14ac:dyDescent="0.2">
      <c r="D589" s="95"/>
      <c r="E589" s="95"/>
    </row>
    <row r="590" spans="4:5" x14ac:dyDescent="0.2">
      <c r="D590" s="95"/>
      <c r="E590" s="95"/>
    </row>
    <row r="591" spans="4:5" x14ac:dyDescent="0.2">
      <c r="D591" s="95"/>
      <c r="E591" s="95"/>
    </row>
    <row r="592" spans="4:5" x14ac:dyDescent="0.2">
      <c r="D592" s="95"/>
      <c r="E592" s="95"/>
    </row>
    <row r="593" spans="4:5" x14ac:dyDescent="0.2">
      <c r="D593" s="95"/>
      <c r="E593" s="95"/>
    </row>
    <row r="594" spans="4:5" x14ac:dyDescent="0.2">
      <c r="D594" s="95"/>
      <c r="E594" s="95"/>
    </row>
    <row r="595" spans="4:5" x14ac:dyDescent="0.2">
      <c r="D595" s="95"/>
      <c r="E595" s="95"/>
    </row>
    <row r="596" spans="4:5" x14ac:dyDescent="0.2">
      <c r="D596" s="95"/>
      <c r="E596" s="95"/>
    </row>
    <row r="597" spans="4:5" x14ac:dyDescent="0.2">
      <c r="D597" s="95"/>
      <c r="E597" s="95"/>
    </row>
    <row r="598" spans="4:5" x14ac:dyDescent="0.2">
      <c r="D598" s="95"/>
      <c r="E598" s="95"/>
    </row>
    <row r="599" spans="4:5" x14ac:dyDescent="0.2">
      <c r="D599" s="95"/>
      <c r="E599" s="95"/>
    </row>
    <row r="600" spans="4:5" x14ac:dyDescent="0.2">
      <c r="D600" s="95"/>
      <c r="E600" s="95"/>
    </row>
    <row r="601" spans="4:5" x14ac:dyDescent="0.2">
      <c r="D601" s="95"/>
      <c r="E601" s="95"/>
    </row>
    <row r="602" spans="4:5" x14ac:dyDescent="0.2">
      <c r="D602" s="95"/>
      <c r="E602" s="95"/>
    </row>
    <row r="603" spans="4:5" x14ac:dyDescent="0.2">
      <c r="D603" s="95"/>
      <c r="E603" s="95"/>
    </row>
    <row r="604" spans="4:5" x14ac:dyDescent="0.2">
      <c r="D604" s="95"/>
      <c r="E604" s="95"/>
    </row>
    <row r="605" spans="4:5" x14ac:dyDescent="0.2">
      <c r="D605" s="95"/>
      <c r="E605" s="95"/>
    </row>
    <row r="606" spans="4:5" x14ac:dyDescent="0.2">
      <c r="D606" s="95"/>
      <c r="E606" s="95"/>
    </row>
    <row r="607" spans="4:5" x14ac:dyDescent="0.2">
      <c r="D607" s="95"/>
      <c r="E607" s="95"/>
    </row>
    <row r="608" spans="4:5" x14ac:dyDescent="0.2">
      <c r="D608" s="95"/>
      <c r="E608" s="95"/>
    </row>
    <row r="609" spans="4:5" x14ac:dyDescent="0.2">
      <c r="D609" s="95"/>
      <c r="E609" s="95"/>
    </row>
    <row r="610" spans="4:5" x14ac:dyDescent="0.2">
      <c r="D610" s="95"/>
      <c r="E610" s="95"/>
    </row>
    <row r="611" spans="4:5" x14ac:dyDescent="0.2">
      <c r="D611" s="95"/>
      <c r="E611" s="95"/>
    </row>
    <row r="612" spans="4:5" x14ac:dyDescent="0.2">
      <c r="D612" s="95"/>
      <c r="E612" s="95"/>
    </row>
    <row r="613" spans="4:5" x14ac:dyDescent="0.2">
      <c r="D613" s="95"/>
      <c r="E613" s="95"/>
    </row>
    <row r="614" spans="4:5" x14ac:dyDescent="0.2">
      <c r="D614" s="95"/>
      <c r="E614" s="95"/>
    </row>
    <row r="615" spans="4:5" x14ac:dyDescent="0.2">
      <c r="D615" s="95"/>
      <c r="E615" s="95"/>
    </row>
    <row r="616" spans="4:5" x14ac:dyDescent="0.2">
      <c r="D616" s="95"/>
      <c r="E616" s="95"/>
    </row>
    <row r="617" spans="4:5" x14ac:dyDescent="0.2">
      <c r="D617" s="95"/>
      <c r="E617" s="95"/>
    </row>
    <row r="618" spans="4:5" x14ac:dyDescent="0.2">
      <c r="D618" s="95"/>
      <c r="E618" s="95"/>
    </row>
    <row r="619" spans="4:5" x14ac:dyDescent="0.2">
      <c r="D619" s="95"/>
      <c r="E619" s="95"/>
    </row>
    <row r="620" spans="4:5" x14ac:dyDescent="0.2">
      <c r="D620" s="95"/>
      <c r="E620" s="95"/>
    </row>
    <row r="621" spans="4:5" x14ac:dyDescent="0.2">
      <c r="D621" s="95"/>
      <c r="E621" s="95"/>
    </row>
    <row r="622" spans="4:5" x14ac:dyDescent="0.2">
      <c r="D622" s="95"/>
      <c r="E622" s="95"/>
    </row>
    <row r="623" spans="4:5" x14ac:dyDescent="0.2">
      <c r="D623" s="95"/>
      <c r="E623" s="95"/>
    </row>
    <row r="624" spans="4:5" x14ac:dyDescent="0.2">
      <c r="D624" s="95"/>
      <c r="E624" s="95"/>
    </row>
    <row r="625" spans="4:5" x14ac:dyDescent="0.2">
      <c r="D625" s="95"/>
      <c r="E625" s="95"/>
    </row>
    <row r="626" spans="4:5" x14ac:dyDescent="0.2">
      <c r="D626" s="95"/>
      <c r="E626" s="95"/>
    </row>
    <row r="627" spans="4:5" x14ac:dyDescent="0.2">
      <c r="D627" s="95"/>
      <c r="E627" s="95"/>
    </row>
    <row r="628" spans="4:5" x14ac:dyDescent="0.2">
      <c r="D628" s="95"/>
      <c r="E628" s="95"/>
    </row>
    <row r="629" spans="4:5" x14ac:dyDescent="0.2">
      <c r="D629" s="95"/>
      <c r="E629" s="95"/>
    </row>
    <row r="630" spans="4:5" x14ac:dyDescent="0.2">
      <c r="D630" s="95"/>
      <c r="E630" s="95"/>
    </row>
    <row r="631" spans="4:5" x14ac:dyDescent="0.2">
      <c r="D631" s="95"/>
      <c r="E631" s="95"/>
    </row>
    <row r="632" spans="4:5" x14ac:dyDescent="0.2">
      <c r="D632" s="95"/>
      <c r="E632" s="95"/>
    </row>
    <row r="633" spans="4:5" x14ac:dyDescent="0.2">
      <c r="D633" s="95"/>
      <c r="E633" s="95"/>
    </row>
    <row r="634" spans="4:5" x14ac:dyDescent="0.2">
      <c r="D634" s="95"/>
      <c r="E634" s="95"/>
    </row>
    <row r="635" spans="4:5" x14ac:dyDescent="0.2">
      <c r="D635" s="95"/>
      <c r="E635" s="95"/>
    </row>
    <row r="636" spans="4:5" x14ac:dyDescent="0.2">
      <c r="D636" s="95"/>
      <c r="E636" s="95"/>
    </row>
    <row r="637" spans="4:5" x14ac:dyDescent="0.2">
      <c r="D637" s="95"/>
      <c r="E637" s="95"/>
    </row>
    <row r="638" spans="4:5" x14ac:dyDescent="0.2">
      <c r="D638" s="95"/>
      <c r="E638" s="95"/>
    </row>
    <row r="639" spans="4:5" x14ac:dyDescent="0.2">
      <c r="D639" s="95"/>
      <c r="E639" s="95"/>
    </row>
    <row r="640" spans="4:5" x14ac:dyDescent="0.2">
      <c r="D640" s="95"/>
      <c r="E640" s="95"/>
    </row>
    <row r="641" spans="4:5" x14ac:dyDescent="0.2">
      <c r="D641" s="95"/>
      <c r="E641" s="95"/>
    </row>
    <row r="642" spans="4:5" x14ac:dyDescent="0.2">
      <c r="D642" s="95"/>
      <c r="E642" s="95"/>
    </row>
    <row r="643" spans="4:5" x14ac:dyDescent="0.2">
      <c r="D643" s="95"/>
      <c r="E643" s="95"/>
    </row>
    <row r="644" spans="4:5" x14ac:dyDescent="0.2">
      <c r="D644" s="95"/>
      <c r="E644" s="95"/>
    </row>
    <row r="645" spans="4:5" x14ac:dyDescent="0.2">
      <c r="D645" s="95"/>
      <c r="E645" s="95"/>
    </row>
    <row r="646" spans="4:5" x14ac:dyDescent="0.2">
      <c r="D646" s="95"/>
      <c r="E646" s="95"/>
    </row>
    <row r="647" spans="4:5" x14ac:dyDescent="0.2">
      <c r="D647" s="95"/>
      <c r="E647" s="95"/>
    </row>
    <row r="648" spans="4:5" x14ac:dyDescent="0.2">
      <c r="D648" s="95"/>
      <c r="E648" s="95"/>
    </row>
    <row r="649" spans="4:5" x14ac:dyDescent="0.2">
      <c r="D649" s="95"/>
      <c r="E649" s="95"/>
    </row>
    <row r="650" spans="4:5" x14ac:dyDescent="0.2">
      <c r="D650" s="95"/>
      <c r="E650" s="95"/>
    </row>
    <row r="651" spans="4:5" x14ac:dyDescent="0.2">
      <c r="D651" s="95"/>
      <c r="E651" s="95"/>
    </row>
    <row r="652" spans="4:5" x14ac:dyDescent="0.2">
      <c r="D652" s="95"/>
      <c r="E652" s="95"/>
    </row>
    <row r="653" spans="4:5" x14ac:dyDescent="0.2">
      <c r="D653" s="95"/>
      <c r="E653" s="95"/>
    </row>
    <row r="654" spans="4:5" x14ac:dyDescent="0.2">
      <c r="D654" s="95"/>
      <c r="E654" s="95"/>
    </row>
    <row r="655" spans="4:5" x14ac:dyDescent="0.2">
      <c r="D655" s="95"/>
      <c r="E655" s="95"/>
    </row>
    <row r="656" spans="4:5" x14ac:dyDescent="0.2">
      <c r="D656" s="95"/>
      <c r="E656" s="95"/>
    </row>
    <row r="657" spans="4:5" x14ac:dyDescent="0.2">
      <c r="D657" s="95"/>
      <c r="E657" s="95"/>
    </row>
    <row r="658" spans="4:5" x14ac:dyDescent="0.2">
      <c r="D658" s="95"/>
      <c r="E658" s="95"/>
    </row>
    <row r="659" spans="4:5" x14ac:dyDescent="0.2">
      <c r="D659" s="95"/>
      <c r="E659" s="95"/>
    </row>
    <row r="660" spans="4:5" x14ac:dyDescent="0.2">
      <c r="D660" s="95"/>
      <c r="E660" s="95"/>
    </row>
    <row r="661" spans="4:5" x14ac:dyDescent="0.2">
      <c r="D661" s="95"/>
      <c r="E661" s="95"/>
    </row>
    <row r="662" spans="4:5" x14ac:dyDescent="0.2">
      <c r="D662" s="95"/>
      <c r="E662" s="95"/>
    </row>
    <row r="663" spans="4:5" x14ac:dyDescent="0.2">
      <c r="D663" s="95"/>
      <c r="E663" s="95"/>
    </row>
    <row r="664" spans="4:5" x14ac:dyDescent="0.2">
      <c r="D664" s="95"/>
      <c r="E664" s="95"/>
    </row>
    <row r="665" spans="4:5" x14ac:dyDescent="0.2">
      <c r="D665" s="95"/>
      <c r="E665" s="95"/>
    </row>
    <row r="666" spans="4:5" x14ac:dyDescent="0.2">
      <c r="D666" s="95"/>
      <c r="E666" s="95"/>
    </row>
    <row r="667" spans="4:5" x14ac:dyDescent="0.2">
      <c r="D667" s="95"/>
      <c r="E667" s="95"/>
    </row>
    <row r="668" spans="4:5" x14ac:dyDescent="0.2">
      <c r="D668" s="95"/>
      <c r="E668" s="95"/>
    </row>
    <row r="669" spans="4:5" x14ac:dyDescent="0.2">
      <c r="D669" s="95"/>
      <c r="E669" s="95"/>
    </row>
    <row r="670" spans="4:5" x14ac:dyDescent="0.2">
      <c r="D670" s="95"/>
      <c r="E670" s="95"/>
    </row>
    <row r="671" spans="4:5" x14ac:dyDescent="0.2">
      <c r="D671" s="95"/>
      <c r="E671" s="95"/>
    </row>
    <row r="672" spans="4:5" x14ac:dyDescent="0.2">
      <c r="D672" s="95"/>
      <c r="E672" s="95"/>
    </row>
    <row r="673" spans="4:5" x14ac:dyDescent="0.2">
      <c r="D673" s="95"/>
      <c r="E673" s="95"/>
    </row>
    <row r="674" spans="4:5" x14ac:dyDescent="0.2">
      <c r="D674" s="95"/>
      <c r="E674" s="95"/>
    </row>
    <row r="675" spans="4:5" x14ac:dyDescent="0.2">
      <c r="D675" s="95"/>
      <c r="E675" s="95"/>
    </row>
    <row r="676" spans="4:5" x14ac:dyDescent="0.2">
      <c r="D676" s="95"/>
      <c r="E676" s="95"/>
    </row>
    <row r="677" spans="4:5" x14ac:dyDescent="0.2">
      <c r="D677" s="95"/>
      <c r="E677" s="95"/>
    </row>
    <row r="678" spans="4:5" x14ac:dyDescent="0.2">
      <c r="D678" s="95"/>
      <c r="E678" s="95"/>
    </row>
    <row r="679" spans="4:5" x14ac:dyDescent="0.2">
      <c r="D679" s="95"/>
      <c r="E679" s="95"/>
    </row>
    <row r="680" spans="4:5" x14ac:dyDescent="0.2">
      <c r="D680" s="95"/>
      <c r="E680" s="95"/>
    </row>
    <row r="681" spans="4:5" x14ac:dyDescent="0.2">
      <c r="D681" s="95"/>
      <c r="E681" s="95"/>
    </row>
    <row r="682" spans="4:5" x14ac:dyDescent="0.2">
      <c r="D682" s="95"/>
      <c r="E682" s="95"/>
    </row>
    <row r="683" spans="4:5" x14ac:dyDescent="0.2">
      <c r="D683" s="95"/>
      <c r="E683" s="95"/>
    </row>
    <row r="684" spans="4:5" x14ac:dyDescent="0.2">
      <c r="D684" s="95"/>
      <c r="E684" s="95"/>
    </row>
    <row r="685" spans="4:5" x14ac:dyDescent="0.2">
      <c r="D685" s="95"/>
      <c r="E685" s="95"/>
    </row>
    <row r="686" spans="4:5" x14ac:dyDescent="0.2">
      <c r="D686" s="95"/>
      <c r="E686" s="95"/>
    </row>
    <row r="687" spans="4:5" x14ac:dyDescent="0.2">
      <c r="D687" s="95"/>
      <c r="E687" s="95"/>
    </row>
    <row r="688" spans="4:5" x14ac:dyDescent="0.2">
      <c r="D688" s="95"/>
      <c r="E688" s="95"/>
    </row>
    <row r="689" spans="4:5" x14ac:dyDescent="0.2">
      <c r="D689" s="95"/>
      <c r="E689" s="95"/>
    </row>
    <row r="690" spans="4:5" x14ac:dyDescent="0.2">
      <c r="D690" s="95"/>
      <c r="E690" s="95"/>
    </row>
    <row r="691" spans="4:5" x14ac:dyDescent="0.2">
      <c r="D691" s="95"/>
      <c r="E691" s="95"/>
    </row>
    <row r="692" spans="4:5" x14ac:dyDescent="0.2">
      <c r="D692" s="95"/>
      <c r="E692" s="95"/>
    </row>
    <row r="693" spans="4:5" x14ac:dyDescent="0.2">
      <c r="D693" s="95"/>
      <c r="E693" s="95"/>
    </row>
    <row r="694" spans="4:5" x14ac:dyDescent="0.2">
      <c r="D694" s="95"/>
      <c r="E694" s="95"/>
    </row>
    <row r="695" spans="4:5" x14ac:dyDescent="0.2">
      <c r="D695" s="95"/>
      <c r="E695" s="95"/>
    </row>
    <row r="696" spans="4:5" x14ac:dyDescent="0.2">
      <c r="D696" s="95"/>
      <c r="E696" s="95"/>
    </row>
    <row r="697" spans="4:5" x14ac:dyDescent="0.2">
      <c r="D697" s="95"/>
      <c r="E697" s="95"/>
    </row>
    <row r="698" spans="4:5" x14ac:dyDescent="0.2">
      <c r="D698" s="95"/>
      <c r="E698" s="95"/>
    </row>
    <row r="699" spans="4:5" x14ac:dyDescent="0.2">
      <c r="D699" s="95"/>
      <c r="E699" s="95"/>
    </row>
    <row r="700" spans="4:5" x14ac:dyDescent="0.2">
      <c r="D700" s="95"/>
      <c r="E700" s="95"/>
    </row>
    <row r="701" spans="4:5" x14ac:dyDescent="0.2">
      <c r="D701" s="95"/>
      <c r="E701" s="95"/>
    </row>
    <row r="702" spans="4:5" x14ac:dyDescent="0.2">
      <c r="D702" s="95"/>
      <c r="E702" s="95"/>
    </row>
    <row r="703" spans="4:5" x14ac:dyDescent="0.2">
      <c r="D703" s="95"/>
      <c r="E703" s="95"/>
    </row>
    <row r="704" spans="4:5" x14ac:dyDescent="0.2">
      <c r="D704" s="95"/>
      <c r="E704" s="95"/>
    </row>
    <row r="705" spans="4:5" x14ac:dyDescent="0.2">
      <c r="D705" s="95"/>
      <c r="E705" s="95"/>
    </row>
    <row r="706" spans="4:5" x14ac:dyDescent="0.2">
      <c r="D706" s="95"/>
      <c r="E706" s="95"/>
    </row>
    <row r="707" spans="4:5" x14ac:dyDescent="0.2">
      <c r="D707" s="95"/>
      <c r="E707" s="95"/>
    </row>
    <row r="708" spans="4:5" x14ac:dyDescent="0.2">
      <c r="D708" s="95"/>
      <c r="E708" s="95"/>
    </row>
    <row r="709" spans="4:5" x14ac:dyDescent="0.2">
      <c r="D709" s="95"/>
      <c r="E709" s="95"/>
    </row>
    <row r="710" spans="4:5" x14ac:dyDescent="0.2">
      <c r="D710" s="95"/>
      <c r="E710" s="95"/>
    </row>
    <row r="711" spans="4:5" x14ac:dyDescent="0.2">
      <c r="D711" s="95"/>
      <c r="E711" s="95"/>
    </row>
    <row r="712" spans="4:5" x14ac:dyDescent="0.2">
      <c r="D712" s="95"/>
      <c r="E712" s="95"/>
    </row>
    <row r="713" spans="4:5" x14ac:dyDescent="0.2">
      <c r="D713" s="95"/>
      <c r="E713" s="95"/>
    </row>
    <row r="714" spans="4:5" x14ac:dyDescent="0.2">
      <c r="D714" s="95"/>
      <c r="E714" s="95"/>
    </row>
    <row r="715" spans="4:5" x14ac:dyDescent="0.2">
      <c r="D715" s="95"/>
      <c r="E715" s="95"/>
    </row>
    <row r="716" spans="4:5" x14ac:dyDescent="0.2">
      <c r="D716" s="95"/>
      <c r="E716" s="95"/>
    </row>
    <row r="717" spans="4:5" x14ac:dyDescent="0.2">
      <c r="D717" s="95"/>
      <c r="E717" s="95"/>
    </row>
    <row r="718" spans="4:5" x14ac:dyDescent="0.2">
      <c r="D718" s="95"/>
      <c r="E718" s="95"/>
    </row>
    <row r="719" spans="4:5" x14ac:dyDescent="0.2">
      <c r="D719" s="95"/>
      <c r="E719" s="95"/>
    </row>
    <row r="720" spans="4:5" x14ac:dyDescent="0.2">
      <c r="D720" s="95"/>
      <c r="E720" s="95"/>
    </row>
    <row r="721" spans="4:5" x14ac:dyDescent="0.2">
      <c r="D721" s="95"/>
      <c r="E721" s="95"/>
    </row>
    <row r="722" spans="4:5" x14ac:dyDescent="0.2">
      <c r="D722" s="95"/>
      <c r="E722" s="95"/>
    </row>
    <row r="723" spans="4:5" x14ac:dyDescent="0.2">
      <c r="D723" s="95"/>
      <c r="E723" s="95"/>
    </row>
    <row r="724" spans="4:5" x14ac:dyDescent="0.2">
      <c r="D724" s="95"/>
      <c r="E724" s="95"/>
    </row>
    <row r="725" spans="4:5" x14ac:dyDescent="0.2">
      <c r="D725" s="95"/>
      <c r="E725" s="95"/>
    </row>
    <row r="726" spans="4:5" x14ac:dyDescent="0.2">
      <c r="D726" s="95"/>
      <c r="E726" s="95"/>
    </row>
    <row r="727" spans="4:5" x14ac:dyDescent="0.2">
      <c r="D727" s="95"/>
      <c r="E727" s="95"/>
    </row>
    <row r="728" spans="4:5" x14ac:dyDescent="0.2">
      <c r="D728" s="95"/>
      <c r="E728" s="95"/>
    </row>
    <row r="729" spans="4:5" x14ac:dyDescent="0.2">
      <c r="D729" s="95"/>
      <c r="E729" s="95"/>
    </row>
    <row r="730" spans="4:5" x14ac:dyDescent="0.2">
      <c r="D730" s="95"/>
      <c r="E730" s="95"/>
    </row>
    <row r="731" spans="4:5" x14ac:dyDescent="0.2">
      <c r="D731" s="95"/>
      <c r="E731" s="95"/>
    </row>
    <row r="732" spans="4:5" x14ac:dyDescent="0.2">
      <c r="D732" s="95"/>
      <c r="E732" s="95"/>
    </row>
    <row r="733" spans="4:5" x14ac:dyDescent="0.2">
      <c r="D733" s="95"/>
      <c r="E733" s="95"/>
    </row>
    <row r="734" spans="4:5" x14ac:dyDescent="0.2">
      <c r="D734" s="95"/>
      <c r="E734" s="95"/>
    </row>
    <row r="735" spans="4:5" x14ac:dyDescent="0.2">
      <c r="D735" s="95"/>
      <c r="E735" s="95"/>
    </row>
    <row r="736" spans="4:5" x14ac:dyDescent="0.2">
      <c r="D736" s="95"/>
      <c r="E736" s="95"/>
    </row>
    <row r="737" spans="4:5" x14ac:dyDescent="0.2">
      <c r="D737" s="95"/>
      <c r="E737" s="95"/>
    </row>
    <row r="738" spans="4:5" x14ac:dyDescent="0.2">
      <c r="D738" s="95"/>
      <c r="E738" s="95"/>
    </row>
    <row r="739" spans="4:5" x14ac:dyDescent="0.2">
      <c r="D739" s="95"/>
      <c r="E739" s="95"/>
    </row>
    <row r="740" spans="4:5" x14ac:dyDescent="0.2">
      <c r="D740" s="95"/>
      <c r="E740" s="95"/>
    </row>
    <row r="741" spans="4:5" x14ac:dyDescent="0.2">
      <c r="D741" s="95"/>
      <c r="E741" s="95"/>
    </row>
    <row r="742" spans="4:5" x14ac:dyDescent="0.2">
      <c r="D742" s="95"/>
      <c r="E742" s="95"/>
    </row>
    <row r="743" spans="4:5" x14ac:dyDescent="0.2">
      <c r="D743" s="95"/>
      <c r="E743" s="95"/>
    </row>
    <row r="744" spans="4:5" x14ac:dyDescent="0.2">
      <c r="D744" s="95"/>
      <c r="E744" s="95"/>
    </row>
    <row r="745" spans="4:5" x14ac:dyDescent="0.2">
      <c r="D745" s="95"/>
      <c r="E745" s="95"/>
    </row>
    <row r="746" spans="4:5" x14ac:dyDescent="0.2">
      <c r="D746" s="95"/>
      <c r="E746" s="95"/>
    </row>
    <row r="747" spans="4:5" x14ac:dyDescent="0.2">
      <c r="D747" s="95"/>
      <c r="E747" s="95"/>
    </row>
    <row r="748" spans="4:5" x14ac:dyDescent="0.2">
      <c r="D748" s="95"/>
      <c r="E748" s="95"/>
    </row>
    <row r="749" spans="4:5" x14ac:dyDescent="0.2">
      <c r="D749" s="95"/>
      <c r="E749" s="95"/>
    </row>
    <row r="750" spans="4:5" x14ac:dyDescent="0.2">
      <c r="D750" s="95"/>
      <c r="E750" s="95"/>
    </row>
    <row r="751" spans="4:5" x14ac:dyDescent="0.2">
      <c r="D751" s="95"/>
      <c r="E751" s="95"/>
    </row>
    <row r="752" spans="4:5" x14ac:dyDescent="0.2">
      <c r="D752" s="95"/>
      <c r="E752" s="95"/>
    </row>
    <row r="753" spans="4:5" x14ac:dyDescent="0.2">
      <c r="D753" s="95"/>
      <c r="E753" s="95"/>
    </row>
    <row r="754" spans="4:5" x14ac:dyDescent="0.2">
      <c r="D754" s="95"/>
      <c r="E754" s="95"/>
    </row>
    <row r="755" spans="4:5" x14ac:dyDescent="0.2">
      <c r="D755" s="95"/>
      <c r="E755" s="95"/>
    </row>
    <row r="756" spans="4:5" x14ac:dyDescent="0.2">
      <c r="D756" s="95"/>
      <c r="E756" s="95"/>
    </row>
    <row r="757" spans="4:5" x14ac:dyDescent="0.2">
      <c r="D757" s="95"/>
      <c r="E757" s="95"/>
    </row>
    <row r="758" spans="4:5" x14ac:dyDescent="0.2">
      <c r="D758" s="95"/>
      <c r="E758" s="95"/>
    </row>
    <row r="759" spans="4:5" x14ac:dyDescent="0.2">
      <c r="D759" s="95"/>
      <c r="E759" s="95"/>
    </row>
    <row r="760" spans="4:5" x14ac:dyDescent="0.2">
      <c r="D760" s="95"/>
      <c r="E760" s="95"/>
    </row>
    <row r="761" spans="4:5" x14ac:dyDescent="0.2">
      <c r="D761" s="95"/>
      <c r="E761" s="95"/>
    </row>
    <row r="762" spans="4:5" x14ac:dyDescent="0.2">
      <c r="D762" s="95"/>
      <c r="E762" s="95"/>
    </row>
    <row r="763" spans="4:5" x14ac:dyDescent="0.2">
      <c r="D763" s="95"/>
      <c r="E763" s="95"/>
    </row>
    <row r="764" spans="4:5" x14ac:dyDescent="0.2">
      <c r="D764" s="95"/>
      <c r="E764" s="95"/>
    </row>
    <row r="765" spans="4:5" x14ac:dyDescent="0.2">
      <c r="D765" s="95"/>
      <c r="E765" s="95"/>
    </row>
    <row r="766" spans="4:5" x14ac:dyDescent="0.2">
      <c r="D766" s="95"/>
      <c r="E766" s="95"/>
    </row>
    <row r="767" spans="4:5" x14ac:dyDescent="0.2">
      <c r="D767" s="95"/>
      <c r="E767" s="95"/>
    </row>
    <row r="768" spans="4:5" x14ac:dyDescent="0.2">
      <c r="D768" s="95"/>
      <c r="E768" s="95"/>
    </row>
    <row r="769" spans="4:5" x14ac:dyDescent="0.2">
      <c r="D769" s="95"/>
      <c r="E769" s="95"/>
    </row>
    <row r="770" spans="4:5" x14ac:dyDescent="0.2">
      <c r="D770" s="95"/>
      <c r="E770" s="95"/>
    </row>
    <row r="771" spans="4:5" x14ac:dyDescent="0.2">
      <c r="D771" s="95"/>
      <c r="E771" s="95"/>
    </row>
    <row r="772" spans="4:5" x14ac:dyDescent="0.2">
      <c r="D772" s="95"/>
      <c r="E772" s="95"/>
    </row>
    <row r="773" spans="4:5" x14ac:dyDescent="0.2">
      <c r="D773" s="95"/>
      <c r="E773" s="95"/>
    </row>
    <row r="774" spans="4:5" x14ac:dyDescent="0.2">
      <c r="D774" s="95"/>
      <c r="E774" s="95"/>
    </row>
    <row r="775" spans="4:5" x14ac:dyDescent="0.2">
      <c r="D775" s="95"/>
      <c r="E775" s="95"/>
    </row>
    <row r="776" spans="4:5" x14ac:dyDescent="0.2">
      <c r="D776" s="95"/>
      <c r="E776" s="95"/>
    </row>
    <row r="777" spans="4:5" x14ac:dyDescent="0.2">
      <c r="D777" s="95"/>
      <c r="E777" s="95"/>
    </row>
    <row r="778" spans="4:5" x14ac:dyDescent="0.2">
      <c r="D778" s="95"/>
      <c r="E778" s="95"/>
    </row>
    <row r="779" spans="4:5" x14ac:dyDescent="0.2">
      <c r="D779" s="95"/>
      <c r="E779" s="95"/>
    </row>
    <row r="780" spans="4:5" x14ac:dyDescent="0.2">
      <c r="D780" s="95"/>
      <c r="E780" s="95"/>
    </row>
    <row r="781" spans="4:5" x14ac:dyDescent="0.2">
      <c r="D781" s="95"/>
      <c r="E781" s="95"/>
    </row>
    <row r="782" spans="4:5" x14ac:dyDescent="0.2">
      <c r="D782" s="95"/>
      <c r="E782" s="95"/>
    </row>
    <row r="783" spans="4:5" x14ac:dyDescent="0.2">
      <c r="D783" s="95"/>
      <c r="E783" s="95"/>
    </row>
    <row r="784" spans="4:5" x14ac:dyDescent="0.2">
      <c r="D784" s="95"/>
      <c r="E784" s="95"/>
    </row>
    <row r="785" spans="4:5" x14ac:dyDescent="0.2">
      <c r="D785" s="95"/>
      <c r="E785" s="95"/>
    </row>
    <row r="786" spans="4:5" x14ac:dyDescent="0.2">
      <c r="D786" s="95"/>
      <c r="E786" s="95"/>
    </row>
    <row r="787" spans="4:5" x14ac:dyDescent="0.2">
      <c r="D787" s="95"/>
      <c r="E787" s="95"/>
    </row>
    <row r="788" spans="4:5" x14ac:dyDescent="0.2">
      <c r="D788" s="95"/>
      <c r="E788" s="95"/>
    </row>
    <row r="789" spans="4:5" x14ac:dyDescent="0.2">
      <c r="D789" s="95"/>
      <c r="E789" s="95"/>
    </row>
    <row r="790" spans="4:5" x14ac:dyDescent="0.2">
      <c r="D790" s="95"/>
      <c r="E790" s="95"/>
    </row>
    <row r="791" spans="4:5" x14ac:dyDescent="0.2">
      <c r="D791" s="95"/>
      <c r="E791" s="95"/>
    </row>
    <row r="792" spans="4:5" x14ac:dyDescent="0.2">
      <c r="D792" s="95"/>
      <c r="E792" s="95"/>
    </row>
    <row r="793" spans="4:5" x14ac:dyDescent="0.2">
      <c r="D793" s="95"/>
      <c r="E793" s="95"/>
    </row>
    <row r="794" spans="4:5" x14ac:dyDescent="0.2">
      <c r="D794" s="95"/>
      <c r="E794" s="95"/>
    </row>
    <row r="795" spans="4:5" x14ac:dyDescent="0.2">
      <c r="D795" s="95"/>
      <c r="E795" s="95"/>
    </row>
    <row r="796" spans="4:5" x14ac:dyDescent="0.2">
      <c r="D796" s="95"/>
      <c r="E796" s="95"/>
    </row>
    <row r="797" spans="4:5" x14ac:dyDescent="0.2">
      <c r="D797" s="95"/>
      <c r="E797" s="95"/>
    </row>
    <row r="798" spans="4:5" x14ac:dyDescent="0.2">
      <c r="D798" s="95"/>
      <c r="E798" s="95"/>
    </row>
    <row r="799" spans="4:5" x14ac:dyDescent="0.2">
      <c r="D799" s="95"/>
      <c r="E799" s="95"/>
    </row>
    <row r="800" spans="4:5" x14ac:dyDescent="0.2">
      <c r="D800" s="95"/>
      <c r="E800" s="95"/>
    </row>
    <row r="801" spans="4:5" x14ac:dyDescent="0.2">
      <c r="D801" s="95"/>
      <c r="E801" s="95"/>
    </row>
    <row r="802" spans="4:5" x14ac:dyDescent="0.2">
      <c r="D802" s="95"/>
      <c r="E802" s="95"/>
    </row>
    <row r="803" spans="4:5" x14ac:dyDescent="0.2">
      <c r="D803" s="95"/>
      <c r="E803" s="95"/>
    </row>
    <row r="804" spans="4:5" x14ac:dyDescent="0.2">
      <c r="D804" s="95"/>
      <c r="E804" s="95"/>
    </row>
    <row r="805" spans="4:5" x14ac:dyDescent="0.2">
      <c r="D805" s="95"/>
      <c r="E805" s="95"/>
    </row>
    <row r="806" spans="4:5" x14ac:dyDescent="0.2">
      <c r="D806" s="95"/>
      <c r="E806" s="95"/>
    </row>
    <row r="807" spans="4:5" x14ac:dyDescent="0.2">
      <c r="D807" s="95"/>
      <c r="E807" s="95"/>
    </row>
    <row r="808" spans="4:5" x14ac:dyDescent="0.2">
      <c r="D808" s="95"/>
      <c r="E808" s="95"/>
    </row>
    <row r="809" spans="4:5" x14ac:dyDescent="0.2">
      <c r="D809" s="95"/>
      <c r="E809" s="95"/>
    </row>
    <row r="810" spans="4:5" x14ac:dyDescent="0.2">
      <c r="D810" s="95"/>
      <c r="E810" s="95"/>
    </row>
    <row r="811" spans="4:5" x14ac:dyDescent="0.2">
      <c r="D811" s="95"/>
      <c r="E811" s="95"/>
    </row>
    <row r="812" spans="4:5" x14ac:dyDescent="0.2">
      <c r="D812" s="95"/>
      <c r="E812" s="95"/>
    </row>
    <row r="813" spans="4:5" x14ac:dyDescent="0.2">
      <c r="D813" s="95"/>
      <c r="E813" s="95"/>
    </row>
    <row r="814" spans="4:5" x14ac:dyDescent="0.2">
      <c r="D814" s="95"/>
      <c r="E814" s="95"/>
    </row>
    <row r="815" spans="4:5" x14ac:dyDescent="0.2">
      <c r="D815" s="95"/>
      <c r="E815" s="95"/>
    </row>
    <row r="816" spans="4:5" x14ac:dyDescent="0.2">
      <c r="D816" s="95"/>
      <c r="E816" s="95"/>
    </row>
    <row r="817" spans="4:5" x14ac:dyDescent="0.2">
      <c r="D817" s="95"/>
      <c r="E817" s="95"/>
    </row>
    <row r="818" spans="4:5" x14ac:dyDescent="0.2">
      <c r="D818" s="95"/>
      <c r="E818" s="95"/>
    </row>
    <row r="819" spans="4:5" x14ac:dyDescent="0.2">
      <c r="D819" s="95"/>
      <c r="E819" s="95"/>
    </row>
    <row r="820" spans="4:5" x14ac:dyDescent="0.2">
      <c r="D820" s="95"/>
      <c r="E820" s="95"/>
    </row>
    <row r="821" spans="4:5" x14ac:dyDescent="0.2">
      <c r="D821" s="95"/>
      <c r="E821" s="95"/>
    </row>
    <row r="822" spans="4:5" x14ac:dyDescent="0.2">
      <c r="D822" s="95"/>
      <c r="E822" s="95"/>
    </row>
    <row r="823" spans="4:5" x14ac:dyDescent="0.2">
      <c r="D823" s="95"/>
      <c r="E823" s="95"/>
    </row>
    <row r="824" spans="4:5" x14ac:dyDescent="0.2">
      <c r="D824" s="95"/>
      <c r="E824" s="95"/>
    </row>
    <row r="825" spans="4:5" x14ac:dyDescent="0.2">
      <c r="D825" s="95"/>
      <c r="E825" s="95"/>
    </row>
    <row r="826" spans="4:5" x14ac:dyDescent="0.2">
      <c r="D826" s="95"/>
      <c r="E826" s="95"/>
    </row>
    <row r="827" spans="4:5" x14ac:dyDescent="0.2">
      <c r="D827" s="95"/>
      <c r="E827" s="95"/>
    </row>
    <row r="828" spans="4:5" x14ac:dyDescent="0.2">
      <c r="D828" s="95"/>
      <c r="E828" s="95"/>
    </row>
    <row r="829" spans="4:5" x14ac:dyDescent="0.2">
      <c r="D829" s="95"/>
      <c r="E829" s="95"/>
    </row>
    <row r="830" spans="4:5" x14ac:dyDescent="0.2">
      <c r="D830" s="95"/>
      <c r="E830" s="95"/>
    </row>
    <row r="831" spans="4:5" x14ac:dyDescent="0.2">
      <c r="D831" s="95"/>
      <c r="E831" s="95"/>
    </row>
    <row r="832" spans="4:5" x14ac:dyDescent="0.2">
      <c r="D832" s="95"/>
      <c r="E832" s="95"/>
    </row>
    <row r="833" spans="4:5" x14ac:dyDescent="0.2">
      <c r="D833" s="95"/>
      <c r="E833" s="95"/>
    </row>
    <row r="834" spans="4:5" x14ac:dyDescent="0.2">
      <c r="D834" s="95"/>
      <c r="E834" s="95"/>
    </row>
    <row r="835" spans="4:5" x14ac:dyDescent="0.2">
      <c r="D835" s="95"/>
      <c r="E835" s="95"/>
    </row>
    <row r="836" spans="4:5" x14ac:dyDescent="0.2">
      <c r="D836" s="95"/>
      <c r="E836" s="95"/>
    </row>
    <row r="837" spans="4:5" x14ac:dyDescent="0.2">
      <c r="D837" s="95"/>
      <c r="E837" s="95"/>
    </row>
    <row r="838" spans="4:5" x14ac:dyDescent="0.2">
      <c r="D838" s="95"/>
      <c r="E838" s="95"/>
    </row>
    <row r="839" spans="4:5" x14ac:dyDescent="0.2">
      <c r="D839" s="95"/>
      <c r="E839" s="95"/>
    </row>
    <row r="840" spans="4:5" x14ac:dyDescent="0.2">
      <c r="D840" s="95"/>
      <c r="E840" s="95"/>
    </row>
    <row r="841" spans="4:5" x14ac:dyDescent="0.2">
      <c r="D841" s="95"/>
      <c r="E841" s="95"/>
    </row>
    <row r="842" spans="4:5" x14ac:dyDescent="0.2">
      <c r="D842" s="95"/>
      <c r="E842" s="95"/>
    </row>
    <row r="843" spans="4:5" x14ac:dyDescent="0.2">
      <c r="D843" s="95"/>
      <c r="E843" s="95"/>
    </row>
    <row r="844" spans="4:5" x14ac:dyDescent="0.2">
      <c r="D844" s="95"/>
      <c r="E844" s="95"/>
    </row>
    <row r="845" spans="4:5" x14ac:dyDescent="0.2">
      <c r="D845" s="95"/>
      <c r="E845" s="95"/>
    </row>
    <row r="846" spans="4:5" x14ac:dyDescent="0.2">
      <c r="D846" s="95"/>
      <c r="E846" s="95"/>
    </row>
    <row r="847" spans="4:5" x14ac:dyDescent="0.2">
      <c r="D847" s="95"/>
      <c r="E847" s="95"/>
    </row>
    <row r="848" spans="4:5" x14ac:dyDescent="0.2">
      <c r="D848" s="95"/>
      <c r="E848" s="95"/>
    </row>
    <row r="849" spans="4:5" x14ac:dyDescent="0.2">
      <c r="D849" s="95"/>
      <c r="E849" s="95"/>
    </row>
    <row r="850" spans="4:5" x14ac:dyDescent="0.2">
      <c r="D850" s="95"/>
      <c r="E850" s="95"/>
    </row>
    <row r="851" spans="4:5" x14ac:dyDescent="0.2">
      <c r="D851" s="95"/>
      <c r="E851" s="95"/>
    </row>
    <row r="852" spans="4:5" x14ac:dyDescent="0.2">
      <c r="D852" s="95"/>
      <c r="E852" s="95"/>
    </row>
    <row r="853" spans="4:5" x14ac:dyDescent="0.2">
      <c r="D853" s="95"/>
      <c r="E853" s="95"/>
    </row>
    <row r="854" spans="4:5" x14ac:dyDescent="0.2">
      <c r="D854" s="95"/>
      <c r="E854" s="95"/>
    </row>
    <row r="855" spans="4:5" x14ac:dyDescent="0.2">
      <c r="D855" s="95"/>
      <c r="E855" s="95"/>
    </row>
    <row r="856" spans="4:5" x14ac:dyDescent="0.2">
      <c r="D856" s="95"/>
      <c r="E856" s="95"/>
    </row>
    <row r="857" spans="4:5" x14ac:dyDescent="0.2">
      <c r="D857" s="95"/>
      <c r="E857" s="95"/>
    </row>
    <row r="858" spans="4:5" x14ac:dyDescent="0.2">
      <c r="D858" s="95"/>
      <c r="E858" s="95"/>
    </row>
    <row r="859" spans="4:5" x14ac:dyDescent="0.2">
      <c r="D859" s="95"/>
      <c r="E859" s="95"/>
    </row>
    <row r="860" spans="4:5" x14ac:dyDescent="0.2">
      <c r="D860" s="95"/>
      <c r="E860" s="95"/>
    </row>
    <row r="861" spans="4:5" x14ac:dyDescent="0.2">
      <c r="D861" s="95"/>
      <c r="E861" s="95"/>
    </row>
    <row r="862" spans="4:5" x14ac:dyDescent="0.2">
      <c r="D862" s="95"/>
      <c r="E862" s="95"/>
    </row>
    <row r="863" spans="4:5" x14ac:dyDescent="0.2">
      <c r="D863" s="95"/>
      <c r="E863" s="95"/>
    </row>
    <row r="864" spans="4:5" x14ac:dyDescent="0.2">
      <c r="D864" s="95"/>
      <c r="E864" s="95"/>
    </row>
    <row r="865" spans="4:5" x14ac:dyDescent="0.2">
      <c r="D865" s="95"/>
      <c r="E865" s="95"/>
    </row>
    <row r="866" spans="4:5" x14ac:dyDescent="0.2">
      <c r="D866" s="95"/>
      <c r="E866" s="95"/>
    </row>
    <row r="867" spans="4:5" x14ac:dyDescent="0.2">
      <c r="D867" s="95"/>
      <c r="E867" s="95"/>
    </row>
    <row r="868" spans="4:5" x14ac:dyDescent="0.2">
      <c r="D868" s="95"/>
      <c r="E868" s="95"/>
    </row>
    <row r="869" spans="4:5" x14ac:dyDescent="0.2">
      <c r="D869" s="95"/>
      <c r="E869" s="95"/>
    </row>
    <row r="870" spans="4:5" x14ac:dyDescent="0.2">
      <c r="D870" s="95"/>
      <c r="E870" s="95"/>
    </row>
    <row r="871" spans="4:5" x14ac:dyDescent="0.2">
      <c r="D871" s="95"/>
      <c r="E871" s="95"/>
    </row>
    <row r="872" spans="4:5" x14ac:dyDescent="0.2">
      <c r="D872" s="95"/>
      <c r="E872" s="95"/>
    </row>
    <row r="873" spans="4:5" x14ac:dyDescent="0.2">
      <c r="D873" s="95"/>
      <c r="E873" s="95"/>
    </row>
    <row r="874" spans="4:5" x14ac:dyDescent="0.2">
      <c r="D874" s="95"/>
      <c r="E874" s="95"/>
    </row>
    <row r="875" spans="4:5" x14ac:dyDescent="0.2">
      <c r="D875" s="95"/>
      <c r="E875" s="95"/>
    </row>
    <row r="876" spans="4:5" x14ac:dyDescent="0.2">
      <c r="D876" s="95"/>
      <c r="E876" s="95"/>
    </row>
    <row r="877" spans="4:5" x14ac:dyDescent="0.2">
      <c r="D877" s="95"/>
      <c r="E877" s="95"/>
    </row>
    <row r="878" spans="4:5" x14ac:dyDescent="0.2">
      <c r="D878" s="95"/>
      <c r="E878" s="95"/>
    </row>
    <row r="879" spans="4:5" x14ac:dyDescent="0.2">
      <c r="D879" s="95"/>
      <c r="E879" s="95"/>
    </row>
    <row r="880" spans="4:5" x14ac:dyDescent="0.2">
      <c r="D880" s="95"/>
      <c r="E880" s="95"/>
    </row>
    <row r="881" spans="4:5" x14ac:dyDescent="0.2">
      <c r="D881" s="95"/>
      <c r="E881" s="95"/>
    </row>
    <row r="882" spans="4:5" x14ac:dyDescent="0.2">
      <c r="D882" s="95"/>
      <c r="E882" s="95"/>
    </row>
    <row r="883" spans="4:5" x14ac:dyDescent="0.2">
      <c r="D883" s="95"/>
      <c r="E883" s="95"/>
    </row>
    <row r="884" spans="4:5" x14ac:dyDescent="0.2">
      <c r="D884" s="95"/>
      <c r="E884" s="95"/>
    </row>
    <row r="885" spans="4:5" x14ac:dyDescent="0.2">
      <c r="D885" s="95"/>
      <c r="E885" s="95"/>
    </row>
    <row r="886" spans="4:5" x14ac:dyDescent="0.2">
      <c r="D886" s="95"/>
      <c r="E886" s="95"/>
    </row>
    <row r="887" spans="4:5" x14ac:dyDescent="0.2">
      <c r="D887" s="95"/>
      <c r="E887" s="95"/>
    </row>
    <row r="888" spans="4:5" x14ac:dyDescent="0.2">
      <c r="D888" s="95"/>
      <c r="E888" s="95"/>
    </row>
    <row r="889" spans="4:5" x14ac:dyDescent="0.2">
      <c r="D889" s="95"/>
      <c r="E889" s="95"/>
    </row>
    <row r="890" spans="4:5" x14ac:dyDescent="0.2">
      <c r="D890" s="95"/>
      <c r="E890" s="95"/>
    </row>
    <row r="891" spans="4:5" x14ac:dyDescent="0.2">
      <c r="D891" s="95"/>
      <c r="E891" s="95"/>
    </row>
    <row r="892" spans="4:5" x14ac:dyDescent="0.2">
      <c r="D892" s="95"/>
      <c r="E892" s="95"/>
    </row>
    <row r="893" spans="4:5" x14ac:dyDescent="0.2">
      <c r="D893" s="95"/>
      <c r="E893" s="95"/>
    </row>
    <row r="894" spans="4:5" x14ac:dyDescent="0.2">
      <c r="D894" s="95"/>
      <c r="E894" s="95"/>
    </row>
    <row r="895" spans="4:5" x14ac:dyDescent="0.2">
      <c r="D895" s="95"/>
      <c r="E895" s="95"/>
    </row>
    <row r="896" spans="4:5" x14ac:dyDescent="0.2">
      <c r="D896" s="95"/>
      <c r="E896" s="95"/>
    </row>
    <row r="897" spans="4:5" x14ac:dyDescent="0.2">
      <c r="D897" s="95"/>
      <c r="E897" s="95"/>
    </row>
    <row r="898" spans="4:5" x14ac:dyDescent="0.2">
      <c r="D898" s="95"/>
      <c r="E898" s="95"/>
    </row>
    <row r="899" spans="4:5" x14ac:dyDescent="0.2">
      <c r="D899" s="95"/>
      <c r="E899" s="95"/>
    </row>
    <row r="900" spans="4:5" x14ac:dyDescent="0.2">
      <c r="D900" s="95"/>
      <c r="E900" s="95"/>
    </row>
    <row r="901" spans="4:5" x14ac:dyDescent="0.2">
      <c r="D901" s="95"/>
      <c r="E901" s="95"/>
    </row>
    <row r="902" spans="4:5" x14ac:dyDescent="0.2">
      <c r="D902" s="95"/>
      <c r="E902" s="95"/>
    </row>
    <row r="903" spans="4:5" x14ac:dyDescent="0.2">
      <c r="D903" s="95"/>
      <c r="E903" s="95"/>
    </row>
    <row r="904" spans="4:5" x14ac:dyDescent="0.2">
      <c r="D904" s="95"/>
      <c r="E904" s="95"/>
    </row>
    <row r="905" spans="4:5" x14ac:dyDescent="0.2">
      <c r="D905" s="95"/>
      <c r="E905" s="95"/>
    </row>
    <row r="906" spans="4:5" x14ac:dyDescent="0.2">
      <c r="D906" s="95"/>
      <c r="E906" s="95"/>
    </row>
    <row r="907" spans="4:5" x14ac:dyDescent="0.2">
      <c r="D907" s="95"/>
      <c r="E907" s="95"/>
    </row>
    <row r="908" spans="4:5" x14ac:dyDescent="0.2">
      <c r="D908" s="95"/>
      <c r="E908" s="95"/>
    </row>
    <row r="909" spans="4:5" x14ac:dyDescent="0.2">
      <c r="D909" s="95"/>
      <c r="E909" s="95"/>
    </row>
    <row r="910" spans="4:5" x14ac:dyDescent="0.2">
      <c r="D910" s="95"/>
      <c r="E910" s="95"/>
    </row>
    <row r="911" spans="4:5" x14ac:dyDescent="0.2">
      <c r="D911" s="95"/>
      <c r="E911" s="95"/>
    </row>
    <row r="912" spans="4:5" x14ac:dyDescent="0.2">
      <c r="D912" s="95"/>
      <c r="E912" s="95"/>
    </row>
    <row r="913" spans="4:5" x14ac:dyDescent="0.2">
      <c r="D913" s="95"/>
      <c r="E913" s="95"/>
    </row>
    <row r="914" spans="4:5" x14ac:dyDescent="0.2">
      <c r="D914" s="95"/>
      <c r="E914" s="95"/>
    </row>
    <row r="915" spans="4:5" x14ac:dyDescent="0.2">
      <c r="D915" s="95"/>
      <c r="E915" s="95"/>
    </row>
    <row r="916" spans="4:5" x14ac:dyDescent="0.2">
      <c r="D916" s="95"/>
      <c r="E916" s="95"/>
    </row>
    <row r="917" spans="4:5" x14ac:dyDescent="0.2">
      <c r="D917" s="95"/>
      <c r="E917" s="95"/>
    </row>
    <row r="918" spans="4:5" x14ac:dyDescent="0.2">
      <c r="D918" s="95"/>
      <c r="E918" s="95"/>
    </row>
    <row r="919" spans="4:5" x14ac:dyDescent="0.2">
      <c r="D919" s="95"/>
      <c r="E919" s="95"/>
    </row>
    <row r="920" spans="4:5" x14ac:dyDescent="0.2">
      <c r="D920" s="95"/>
      <c r="E920" s="95"/>
    </row>
    <row r="921" spans="4:5" x14ac:dyDescent="0.2">
      <c r="D921" s="95"/>
      <c r="E921" s="95"/>
    </row>
    <row r="922" spans="4:5" x14ac:dyDescent="0.2">
      <c r="D922" s="95"/>
      <c r="E922" s="95"/>
    </row>
    <row r="923" spans="4:5" x14ac:dyDescent="0.2">
      <c r="D923" s="95"/>
      <c r="E923" s="95"/>
    </row>
    <row r="924" spans="4:5" x14ac:dyDescent="0.2">
      <c r="D924" s="95"/>
      <c r="E924" s="95"/>
    </row>
    <row r="925" spans="4:5" x14ac:dyDescent="0.2">
      <c r="D925" s="95"/>
      <c r="E925" s="95"/>
    </row>
    <row r="926" spans="4:5" x14ac:dyDescent="0.2">
      <c r="D926" s="95"/>
      <c r="E926" s="95"/>
    </row>
    <row r="927" spans="4:5" x14ac:dyDescent="0.2">
      <c r="D927" s="95"/>
      <c r="E927" s="95"/>
    </row>
    <row r="928" spans="4:5" x14ac:dyDescent="0.2">
      <c r="D928" s="95"/>
      <c r="E928" s="95"/>
    </row>
    <row r="929" spans="4:5" x14ac:dyDescent="0.2">
      <c r="D929" s="95"/>
      <c r="E929" s="95"/>
    </row>
    <row r="930" spans="4:5" x14ac:dyDescent="0.2">
      <c r="D930" s="95"/>
      <c r="E930" s="95"/>
    </row>
    <row r="931" spans="4:5" x14ac:dyDescent="0.2">
      <c r="D931" s="95"/>
      <c r="E931" s="95"/>
    </row>
    <row r="932" spans="4:5" x14ac:dyDescent="0.2">
      <c r="D932" s="95"/>
      <c r="E932" s="95"/>
    </row>
    <row r="933" spans="4:5" x14ac:dyDescent="0.2">
      <c r="D933" s="95"/>
      <c r="E933" s="95"/>
    </row>
    <row r="934" spans="4:5" x14ac:dyDescent="0.2">
      <c r="D934" s="95"/>
      <c r="E934" s="95"/>
    </row>
    <row r="935" spans="4:5" x14ac:dyDescent="0.2">
      <c r="D935" s="95"/>
      <c r="E935" s="95"/>
    </row>
    <row r="936" spans="4:5" x14ac:dyDescent="0.2">
      <c r="D936" s="95"/>
      <c r="E936" s="95"/>
    </row>
    <row r="937" spans="4:5" x14ac:dyDescent="0.2">
      <c r="D937" s="95"/>
      <c r="E937" s="95"/>
    </row>
    <row r="938" spans="4:5" x14ac:dyDescent="0.2">
      <c r="D938" s="95"/>
      <c r="E938" s="95"/>
    </row>
    <row r="939" spans="4:5" x14ac:dyDescent="0.2">
      <c r="D939" s="95"/>
      <c r="E939" s="95"/>
    </row>
    <row r="940" spans="4:5" x14ac:dyDescent="0.2">
      <c r="D940" s="95"/>
      <c r="E940" s="95"/>
    </row>
    <row r="941" spans="4:5" x14ac:dyDescent="0.2">
      <c r="D941" s="95"/>
      <c r="E941" s="95"/>
    </row>
    <row r="942" spans="4:5" x14ac:dyDescent="0.2">
      <c r="D942" s="95"/>
      <c r="E942" s="95"/>
    </row>
    <row r="943" spans="4:5" x14ac:dyDescent="0.2">
      <c r="D943" s="95"/>
      <c r="E943" s="95"/>
    </row>
    <row r="944" spans="4:5" x14ac:dyDescent="0.2">
      <c r="D944" s="95"/>
      <c r="E944" s="95"/>
    </row>
    <row r="945" spans="4:5" x14ac:dyDescent="0.2">
      <c r="D945" s="95"/>
      <c r="E945" s="95"/>
    </row>
    <row r="946" spans="4:5" x14ac:dyDescent="0.2">
      <c r="D946" s="95"/>
      <c r="E946" s="95"/>
    </row>
    <row r="947" spans="4:5" x14ac:dyDescent="0.2">
      <c r="D947" s="95"/>
      <c r="E947" s="95"/>
    </row>
    <row r="948" spans="4:5" x14ac:dyDescent="0.2">
      <c r="D948" s="95"/>
      <c r="E948" s="95"/>
    </row>
    <row r="949" spans="4:5" x14ac:dyDescent="0.2">
      <c r="D949" s="95"/>
      <c r="E949" s="95"/>
    </row>
    <row r="950" spans="4:5" x14ac:dyDescent="0.2">
      <c r="D950" s="95"/>
      <c r="E950" s="95"/>
    </row>
    <row r="951" spans="4:5" x14ac:dyDescent="0.2">
      <c r="D951" s="95"/>
      <c r="E951" s="95"/>
    </row>
    <row r="952" spans="4:5" x14ac:dyDescent="0.2">
      <c r="D952" s="95"/>
      <c r="E952" s="95"/>
    </row>
    <row r="953" spans="4:5" x14ac:dyDescent="0.2">
      <c r="D953" s="95"/>
      <c r="E953" s="95"/>
    </row>
    <row r="954" spans="4:5" x14ac:dyDescent="0.2">
      <c r="D954" s="95"/>
      <c r="E954" s="95"/>
    </row>
    <row r="955" spans="4:5" x14ac:dyDescent="0.2">
      <c r="D955" s="95"/>
      <c r="E955" s="95"/>
    </row>
    <row r="956" spans="4:5" x14ac:dyDescent="0.2">
      <c r="D956" s="95"/>
      <c r="E956" s="95"/>
    </row>
    <row r="957" spans="4:5" x14ac:dyDescent="0.2">
      <c r="D957" s="95"/>
      <c r="E957" s="95"/>
    </row>
    <row r="958" spans="4:5" x14ac:dyDescent="0.2">
      <c r="D958" s="95"/>
      <c r="E958" s="95"/>
    </row>
    <row r="959" spans="4:5" x14ac:dyDescent="0.2">
      <c r="D959" s="95"/>
      <c r="E959" s="95"/>
    </row>
    <row r="960" spans="4:5" x14ac:dyDescent="0.2">
      <c r="D960" s="95"/>
      <c r="E960" s="95"/>
    </row>
    <row r="961" spans="4:5" x14ac:dyDescent="0.2">
      <c r="D961" s="95"/>
      <c r="E961" s="95"/>
    </row>
    <row r="962" spans="4:5" x14ac:dyDescent="0.2">
      <c r="D962" s="95"/>
      <c r="E962" s="95"/>
    </row>
    <row r="963" spans="4:5" x14ac:dyDescent="0.2">
      <c r="D963" s="95"/>
      <c r="E963" s="95"/>
    </row>
    <row r="964" spans="4:5" x14ac:dyDescent="0.2">
      <c r="D964" s="95"/>
      <c r="E964" s="95"/>
    </row>
    <row r="965" spans="4:5" x14ac:dyDescent="0.2">
      <c r="D965" s="95"/>
      <c r="E965" s="95"/>
    </row>
    <row r="966" spans="4:5" x14ac:dyDescent="0.2">
      <c r="D966" s="95"/>
      <c r="E966" s="95"/>
    </row>
    <row r="967" spans="4:5" x14ac:dyDescent="0.2">
      <c r="D967" s="95"/>
      <c r="E967" s="95"/>
    </row>
    <row r="968" spans="4:5" x14ac:dyDescent="0.2">
      <c r="D968" s="95"/>
      <c r="E968" s="95"/>
    </row>
    <row r="969" spans="4:5" x14ac:dyDescent="0.2">
      <c r="D969" s="95"/>
      <c r="E969" s="95"/>
    </row>
    <row r="970" spans="4:5" x14ac:dyDescent="0.2">
      <c r="D970" s="95"/>
      <c r="E970" s="95"/>
    </row>
    <row r="971" spans="4:5" x14ac:dyDescent="0.2">
      <c r="D971" s="95"/>
      <c r="E971" s="95"/>
    </row>
    <row r="972" spans="4:5" x14ac:dyDescent="0.2">
      <c r="D972" s="95"/>
      <c r="E972" s="95"/>
    </row>
    <row r="973" spans="4:5" x14ac:dyDescent="0.2">
      <c r="D973" s="95"/>
      <c r="E973" s="95"/>
    </row>
    <row r="974" spans="4:5" x14ac:dyDescent="0.2">
      <c r="D974" s="95"/>
      <c r="E974" s="95"/>
    </row>
    <row r="975" spans="4:5" x14ac:dyDescent="0.2">
      <c r="D975" s="95"/>
      <c r="E975" s="95"/>
    </row>
    <row r="976" spans="4:5" x14ac:dyDescent="0.2">
      <c r="D976" s="95"/>
      <c r="E976" s="95"/>
    </row>
    <row r="977" spans="4:5" x14ac:dyDescent="0.2">
      <c r="D977" s="95"/>
      <c r="E977" s="95"/>
    </row>
    <row r="978" spans="4:5" x14ac:dyDescent="0.2">
      <c r="D978" s="95"/>
      <c r="E978" s="95"/>
    </row>
    <row r="979" spans="4:5" x14ac:dyDescent="0.2">
      <c r="D979" s="95"/>
      <c r="E979" s="95"/>
    </row>
    <row r="980" spans="4:5" x14ac:dyDescent="0.2">
      <c r="D980" s="95"/>
      <c r="E980" s="95"/>
    </row>
    <row r="981" spans="4:5" x14ac:dyDescent="0.2">
      <c r="D981" s="95"/>
      <c r="E981" s="95"/>
    </row>
    <row r="982" spans="4:5" x14ac:dyDescent="0.2">
      <c r="D982" s="95"/>
      <c r="E982" s="95"/>
    </row>
    <row r="983" spans="4:5" x14ac:dyDescent="0.2">
      <c r="D983" s="95"/>
      <c r="E983" s="95"/>
    </row>
    <row r="984" spans="4:5" x14ac:dyDescent="0.2">
      <c r="D984" s="95"/>
      <c r="E984" s="95"/>
    </row>
    <row r="985" spans="4:5" x14ac:dyDescent="0.2">
      <c r="D985" s="95"/>
      <c r="E985" s="95"/>
    </row>
    <row r="986" spans="4:5" x14ac:dyDescent="0.2">
      <c r="D986" s="95"/>
      <c r="E986" s="95"/>
    </row>
    <row r="987" spans="4:5" x14ac:dyDescent="0.2">
      <c r="D987" s="95"/>
      <c r="E987" s="95"/>
    </row>
    <row r="988" spans="4:5" x14ac:dyDescent="0.2">
      <c r="D988" s="95"/>
      <c r="E988" s="95"/>
    </row>
    <row r="989" spans="4:5" x14ac:dyDescent="0.2">
      <c r="D989" s="95"/>
      <c r="E989" s="95"/>
    </row>
    <row r="990" spans="4:5" x14ac:dyDescent="0.2">
      <c r="D990" s="95"/>
      <c r="E990" s="95"/>
    </row>
    <row r="991" spans="4:5" x14ac:dyDescent="0.2">
      <c r="D991" s="95"/>
      <c r="E991" s="95"/>
    </row>
    <row r="992" spans="4:5" x14ac:dyDescent="0.2">
      <c r="D992" s="95"/>
      <c r="E992" s="95"/>
    </row>
    <row r="993" spans="4:5" x14ac:dyDescent="0.2">
      <c r="D993" s="95"/>
      <c r="E993" s="95"/>
    </row>
    <row r="994" spans="4:5" x14ac:dyDescent="0.2">
      <c r="D994" s="95"/>
      <c r="E994" s="95"/>
    </row>
    <row r="995" spans="4:5" x14ac:dyDescent="0.2">
      <c r="D995" s="95"/>
      <c r="E995" s="95"/>
    </row>
    <row r="996" spans="4:5" x14ac:dyDescent="0.2">
      <c r="D996" s="95"/>
      <c r="E996" s="95"/>
    </row>
    <row r="997" spans="4:5" x14ac:dyDescent="0.2">
      <c r="D997" s="95"/>
      <c r="E997" s="95"/>
    </row>
    <row r="998" spans="4:5" x14ac:dyDescent="0.2">
      <c r="D998" s="95"/>
      <c r="E998" s="95"/>
    </row>
    <row r="999" spans="4:5" x14ac:dyDescent="0.2">
      <c r="D999" s="95"/>
      <c r="E999" s="95"/>
    </row>
    <row r="1000" spans="4:5" x14ac:dyDescent="0.2">
      <c r="D1000" s="95"/>
      <c r="E1000" s="9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07CD-8384-4329-9C0D-01867B3ACD18}">
  <sheetPr>
    <tabColor rgb="FFFF0000"/>
  </sheetPr>
  <dimension ref="A1:CK2"/>
  <sheetViews>
    <sheetView topLeftCell="BK1" workbookViewId="0">
      <selection activeCell="CC1" sqref="CC1"/>
    </sheetView>
  </sheetViews>
  <sheetFormatPr baseColWidth="10" defaultColWidth="8.83203125" defaultRowHeight="15" x14ac:dyDescent="0.2"/>
  <sheetData>
    <row r="1" spans="1:89" x14ac:dyDescent="0.2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116</v>
      </c>
      <c r="W1" t="s">
        <v>117</v>
      </c>
      <c r="X1" t="s">
        <v>118</v>
      </c>
      <c r="Y1" t="s">
        <v>119</v>
      </c>
      <c r="Z1" t="s">
        <v>120</v>
      </c>
      <c r="AA1" t="s">
        <v>121</v>
      </c>
      <c r="AB1" t="s">
        <v>122</v>
      </c>
      <c r="AC1" t="s">
        <v>123</v>
      </c>
      <c r="AD1" t="s">
        <v>124</v>
      </c>
      <c r="AE1" t="s">
        <v>125</v>
      </c>
      <c r="AF1" t="s">
        <v>126</v>
      </c>
      <c r="AG1" t="s">
        <v>127</v>
      </c>
      <c r="AH1" t="s">
        <v>128</v>
      </c>
      <c r="AI1" t="s">
        <v>129</v>
      </c>
      <c r="AJ1" t="s">
        <v>130</v>
      </c>
      <c r="AK1" t="s">
        <v>131</v>
      </c>
      <c r="AL1" t="s">
        <v>132</v>
      </c>
      <c r="AM1" t="s">
        <v>133</v>
      </c>
      <c r="AN1" t="s">
        <v>134</v>
      </c>
      <c r="AO1" t="s">
        <v>135</v>
      </c>
      <c r="AP1" t="s">
        <v>136</v>
      </c>
      <c r="AQ1" t="s">
        <v>137</v>
      </c>
      <c r="AR1" t="s">
        <v>138</v>
      </c>
      <c r="AS1" t="s">
        <v>139</v>
      </c>
      <c r="AT1" t="s">
        <v>140</v>
      </c>
      <c r="AU1" t="s">
        <v>141</v>
      </c>
      <c r="AV1" t="s">
        <v>142</v>
      </c>
      <c r="AW1" t="s">
        <v>143</v>
      </c>
      <c r="AX1" t="s">
        <v>144</v>
      </c>
      <c r="AY1" t="s">
        <v>145</v>
      </c>
      <c r="AZ1" t="s">
        <v>146</v>
      </c>
      <c r="BA1" t="s">
        <v>147</v>
      </c>
      <c r="BB1" t="s">
        <v>148</v>
      </c>
      <c r="BC1" t="s">
        <v>149</v>
      </c>
      <c r="BD1" t="s">
        <v>150</v>
      </c>
      <c r="BE1" t="s">
        <v>151</v>
      </c>
      <c r="BF1" t="s">
        <v>152</v>
      </c>
      <c r="BG1" t="s">
        <v>153</v>
      </c>
      <c r="BH1" t="s">
        <v>154</v>
      </c>
      <c r="BI1" t="s">
        <v>155</v>
      </c>
      <c r="BJ1" t="s">
        <v>156</v>
      </c>
      <c r="BK1" t="s">
        <v>157</v>
      </c>
      <c r="BL1" t="s">
        <v>158</v>
      </c>
      <c r="BM1" t="s">
        <v>159</v>
      </c>
      <c r="BN1" t="s">
        <v>160</v>
      </c>
      <c r="BO1" t="s">
        <v>161</v>
      </c>
      <c r="BP1" t="s">
        <v>162</v>
      </c>
      <c r="BQ1" t="s">
        <v>163</v>
      </c>
      <c r="BR1" t="s">
        <v>164</v>
      </c>
      <c r="BS1" t="s">
        <v>165</v>
      </c>
      <c r="BT1" t="s">
        <v>166</v>
      </c>
      <c r="BU1" t="s">
        <v>167</v>
      </c>
      <c r="BV1" t="s">
        <v>168</v>
      </c>
      <c r="BW1" t="s">
        <v>169</v>
      </c>
      <c r="BX1" t="s">
        <v>170</v>
      </c>
      <c r="BY1" t="s">
        <v>171</v>
      </c>
      <c r="BZ1" t="s">
        <v>172</v>
      </c>
      <c r="CA1" t="s">
        <v>173</v>
      </c>
      <c r="CB1" t="s">
        <v>174</v>
      </c>
      <c r="CC1" t="s">
        <v>175</v>
      </c>
      <c r="CD1" t="s">
        <v>176</v>
      </c>
      <c r="CE1" t="s">
        <v>177</v>
      </c>
      <c r="CF1" t="s">
        <v>178</v>
      </c>
      <c r="CG1" t="s">
        <v>179</v>
      </c>
      <c r="CH1" t="s">
        <v>180</v>
      </c>
      <c r="CI1" t="s">
        <v>181</v>
      </c>
      <c r="CJ1" t="s">
        <v>182</v>
      </c>
      <c r="CK1" t="s">
        <v>183</v>
      </c>
    </row>
    <row r="2" spans="1:89" x14ac:dyDescent="0.2">
      <c r="A2" t="s">
        <v>184</v>
      </c>
      <c r="B2" t="s">
        <v>41</v>
      </c>
      <c r="C2" s="67">
        <v>45476</v>
      </c>
      <c r="D2" s="67">
        <v>45491</v>
      </c>
      <c r="E2">
        <v>79.5</v>
      </c>
      <c r="F2">
        <v>64</v>
      </c>
      <c r="G2">
        <v>26.5</v>
      </c>
      <c r="H2">
        <v>23</v>
      </c>
      <c r="I2">
        <v>53</v>
      </c>
      <c r="J2">
        <v>41</v>
      </c>
      <c r="K2">
        <v>72.5</v>
      </c>
      <c r="L2">
        <v>63</v>
      </c>
      <c r="M2">
        <v>15</v>
      </c>
      <c r="N2">
        <v>9</v>
      </c>
      <c r="O2">
        <v>19</v>
      </c>
      <c r="P2">
        <v>23</v>
      </c>
      <c r="Q2">
        <v>22</v>
      </c>
      <c r="R2">
        <v>30</v>
      </c>
      <c r="S2">
        <v>23</v>
      </c>
      <c r="T2">
        <v>26.5</v>
      </c>
      <c r="U2">
        <v>20</v>
      </c>
      <c r="V2">
        <v>20.5</v>
      </c>
      <c r="W2">
        <v>29</v>
      </c>
      <c r="X2">
        <v>34</v>
      </c>
      <c r="Y2">
        <v>14</v>
      </c>
      <c r="Z2">
        <v>16.5</v>
      </c>
      <c r="AA2">
        <v>2</v>
      </c>
      <c r="AB2">
        <v>1</v>
      </c>
      <c r="AC2">
        <v>30</v>
      </c>
      <c r="AD2">
        <v>41.5</v>
      </c>
      <c r="AE2">
        <v>5</v>
      </c>
      <c r="AF2">
        <v>6</v>
      </c>
      <c r="AG2">
        <v>8</v>
      </c>
      <c r="AH2">
        <v>11.5</v>
      </c>
      <c r="AI2">
        <v>3</v>
      </c>
      <c r="AJ2">
        <v>4</v>
      </c>
      <c r="AK2">
        <v>2</v>
      </c>
      <c r="AL2">
        <v>4</v>
      </c>
      <c r="AM2">
        <v>2</v>
      </c>
      <c r="AN2">
        <v>4</v>
      </c>
      <c r="AO2">
        <v>3</v>
      </c>
      <c r="AP2">
        <v>5</v>
      </c>
      <c r="AQ2">
        <v>1</v>
      </c>
      <c r="AR2">
        <v>5</v>
      </c>
      <c r="AS2">
        <v>23</v>
      </c>
      <c r="AT2">
        <v>24</v>
      </c>
      <c r="AU2">
        <v>24</v>
      </c>
      <c r="AV2">
        <v>28.5</v>
      </c>
      <c r="AW2">
        <v>16</v>
      </c>
      <c r="AX2">
        <v>24</v>
      </c>
      <c r="AY2">
        <v>1</v>
      </c>
      <c r="AZ2">
        <v>0</v>
      </c>
      <c r="BA2">
        <v>9</v>
      </c>
      <c r="BB2">
        <v>11.5</v>
      </c>
      <c r="BC2">
        <v>11</v>
      </c>
      <c r="BD2">
        <v>11.5</v>
      </c>
      <c r="BE2">
        <v>4</v>
      </c>
      <c r="BF2">
        <v>5.5</v>
      </c>
      <c r="BG2">
        <v>2</v>
      </c>
      <c r="BH2">
        <v>1</v>
      </c>
      <c r="BI2">
        <v>10</v>
      </c>
      <c r="BJ2">
        <v>9.5</v>
      </c>
      <c r="BK2">
        <v>4</v>
      </c>
      <c r="BL2">
        <v>4</v>
      </c>
      <c r="BM2">
        <v>1</v>
      </c>
      <c r="BN2">
        <v>0.5</v>
      </c>
      <c r="BO2">
        <v>1</v>
      </c>
      <c r="BP2">
        <v>3</v>
      </c>
      <c r="BQ2">
        <v>1</v>
      </c>
      <c r="BR2">
        <v>3</v>
      </c>
      <c r="BS2">
        <v>1</v>
      </c>
      <c r="BT2">
        <v>3</v>
      </c>
      <c r="BU2">
        <v>13</v>
      </c>
      <c r="BV2">
        <v>14.5</v>
      </c>
      <c r="BW2">
        <v>9</v>
      </c>
      <c r="BX2">
        <v>9</v>
      </c>
      <c r="BY2">
        <v>20</v>
      </c>
      <c r="BZ2">
        <v>20.5</v>
      </c>
      <c r="CA2">
        <v>1.2</v>
      </c>
      <c r="CB2">
        <v>13</v>
      </c>
      <c r="CC2">
        <v>30</v>
      </c>
      <c r="CD2">
        <v>50</v>
      </c>
      <c r="CE2">
        <v>50</v>
      </c>
      <c r="CF2">
        <v>50</v>
      </c>
      <c r="CG2">
        <v>50</v>
      </c>
      <c r="CH2" t="b">
        <v>0</v>
      </c>
      <c r="CI2" t="b">
        <v>0</v>
      </c>
      <c r="CJ2" t="b">
        <v>0</v>
      </c>
      <c r="CK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29BD-3187-4E58-A863-038E41F4B55E}">
  <sheetPr>
    <tabColor theme="1" tint="0.34998626667073579"/>
  </sheetPr>
  <dimension ref="A1:D1032281"/>
  <sheetViews>
    <sheetView topLeftCell="A31" workbookViewId="0">
      <selection activeCell="A81" sqref="A81"/>
    </sheetView>
  </sheetViews>
  <sheetFormatPr baseColWidth="10" defaultColWidth="8.6640625" defaultRowHeight="15" x14ac:dyDescent="0.2"/>
  <cols>
    <col min="1" max="1" width="55.33203125" style="97" customWidth="1"/>
    <col min="2" max="21" width="8.6640625" style="97"/>
    <col min="22" max="22" width="29.1640625" style="97" customWidth="1"/>
    <col min="23" max="16384" width="8.6640625" style="97"/>
  </cols>
  <sheetData>
    <row r="1" spans="1:4" x14ac:dyDescent="0.2">
      <c r="A1" s="97" t="s">
        <v>95</v>
      </c>
    </row>
    <row r="2" spans="1:4" x14ac:dyDescent="0.2">
      <c r="A2" s="97" t="s">
        <v>96</v>
      </c>
      <c r="C2" s="98"/>
      <c r="D2" s="98"/>
    </row>
    <row r="3" spans="1:4" x14ac:dyDescent="0.2">
      <c r="A3" s="97" t="s">
        <v>97</v>
      </c>
    </row>
    <row r="4" spans="1:4" x14ac:dyDescent="0.2">
      <c r="A4" s="97" t="s">
        <v>98</v>
      </c>
    </row>
    <row r="5" spans="1:4" x14ac:dyDescent="0.2">
      <c r="A5" s="97" t="s">
        <v>99</v>
      </c>
    </row>
    <row r="6" spans="1:4" x14ac:dyDescent="0.2">
      <c r="A6" s="97" t="s">
        <v>100</v>
      </c>
    </row>
    <row r="7" spans="1:4" x14ac:dyDescent="0.2">
      <c r="A7" s="97" t="s">
        <v>101</v>
      </c>
    </row>
    <row r="8" spans="1:4" x14ac:dyDescent="0.2">
      <c r="A8" s="97" t="s">
        <v>102</v>
      </c>
    </row>
    <row r="9" spans="1:4" x14ac:dyDescent="0.2">
      <c r="A9" s="97" t="s">
        <v>103</v>
      </c>
    </row>
    <row r="10" spans="1:4" x14ac:dyDescent="0.2">
      <c r="A10" s="97" t="s">
        <v>104</v>
      </c>
    </row>
    <row r="11" spans="1:4" x14ac:dyDescent="0.2">
      <c r="A11" s="97" t="s">
        <v>105</v>
      </c>
    </row>
    <row r="12" spans="1:4" x14ac:dyDescent="0.2">
      <c r="A12" s="97" t="s">
        <v>106</v>
      </c>
    </row>
    <row r="13" spans="1:4" x14ac:dyDescent="0.2">
      <c r="A13" s="97" t="s">
        <v>107</v>
      </c>
    </row>
    <row r="14" spans="1:4" x14ac:dyDescent="0.2">
      <c r="A14" s="97" t="s">
        <v>108</v>
      </c>
    </row>
    <row r="15" spans="1:4" x14ac:dyDescent="0.2">
      <c r="A15" s="97" t="s">
        <v>109</v>
      </c>
    </row>
    <row r="16" spans="1:4" x14ac:dyDescent="0.2">
      <c r="A16" s="97" t="s">
        <v>110</v>
      </c>
    </row>
    <row r="17" spans="1:1" x14ac:dyDescent="0.2">
      <c r="A17" s="97" t="s">
        <v>111</v>
      </c>
    </row>
    <row r="18" spans="1:1" x14ac:dyDescent="0.2">
      <c r="A18" s="97" t="s">
        <v>112</v>
      </c>
    </row>
    <row r="19" spans="1:1" x14ac:dyDescent="0.2">
      <c r="A19" s="97" t="s">
        <v>113</v>
      </c>
    </row>
    <row r="20" spans="1:1" x14ac:dyDescent="0.2">
      <c r="A20" s="97" t="s">
        <v>114</v>
      </c>
    </row>
    <row r="21" spans="1:1" x14ac:dyDescent="0.2">
      <c r="A21" s="97" t="s">
        <v>115</v>
      </c>
    </row>
    <row r="22" spans="1:1" x14ac:dyDescent="0.2">
      <c r="A22" s="97" t="s">
        <v>116</v>
      </c>
    </row>
    <row r="23" spans="1:1" x14ac:dyDescent="0.2">
      <c r="A23" s="97" t="s">
        <v>117</v>
      </c>
    </row>
    <row r="24" spans="1:1" x14ac:dyDescent="0.2">
      <c r="A24" s="97" t="s">
        <v>118</v>
      </c>
    </row>
    <row r="25" spans="1:1" x14ac:dyDescent="0.2">
      <c r="A25" s="97" t="s">
        <v>119</v>
      </c>
    </row>
    <row r="26" spans="1:1" x14ac:dyDescent="0.2">
      <c r="A26" s="97" t="s">
        <v>120</v>
      </c>
    </row>
    <row r="27" spans="1:1" x14ac:dyDescent="0.2">
      <c r="A27" s="97" t="s">
        <v>121</v>
      </c>
    </row>
    <row r="28" spans="1:1" x14ac:dyDescent="0.2">
      <c r="A28" s="97" t="s">
        <v>122</v>
      </c>
    </row>
    <row r="29" spans="1:1" x14ac:dyDescent="0.2">
      <c r="A29" s="97" t="s">
        <v>123</v>
      </c>
    </row>
    <row r="30" spans="1:1" x14ac:dyDescent="0.2">
      <c r="A30" s="97" t="s">
        <v>124</v>
      </c>
    </row>
    <row r="31" spans="1:1" x14ac:dyDescent="0.2">
      <c r="A31" s="97" t="s">
        <v>125</v>
      </c>
    </row>
    <row r="32" spans="1:1" x14ac:dyDescent="0.2">
      <c r="A32" s="97" t="s">
        <v>126</v>
      </c>
    </row>
    <row r="33" spans="1:1" x14ac:dyDescent="0.2">
      <c r="A33" s="97" t="s">
        <v>127</v>
      </c>
    </row>
    <row r="34" spans="1:1" x14ac:dyDescent="0.2">
      <c r="A34" s="97" t="s">
        <v>128</v>
      </c>
    </row>
    <row r="35" spans="1:1" x14ac:dyDescent="0.2">
      <c r="A35" s="97" t="s">
        <v>129</v>
      </c>
    </row>
    <row r="36" spans="1:1" x14ac:dyDescent="0.2">
      <c r="A36" s="97" t="s">
        <v>130</v>
      </c>
    </row>
    <row r="37" spans="1:1" x14ac:dyDescent="0.2">
      <c r="A37" s="97" t="s">
        <v>131</v>
      </c>
    </row>
    <row r="38" spans="1:1" x14ac:dyDescent="0.2">
      <c r="A38" s="97" t="s">
        <v>132</v>
      </c>
    </row>
    <row r="39" spans="1:1" x14ac:dyDescent="0.2">
      <c r="A39" s="97" t="s">
        <v>133</v>
      </c>
    </row>
    <row r="40" spans="1:1" x14ac:dyDescent="0.2">
      <c r="A40" s="97" t="s">
        <v>134</v>
      </c>
    </row>
    <row r="41" spans="1:1" x14ac:dyDescent="0.2">
      <c r="A41" s="97" t="s">
        <v>135</v>
      </c>
    </row>
    <row r="42" spans="1:1" x14ac:dyDescent="0.2">
      <c r="A42" s="97" t="s">
        <v>136</v>
      </c>
    </row>
    <row r="43" spans="1:1" x14ac:dyDescent="0.2">
      <c r="A43" s="97" t="s">
        <v>137</v>
      </c>
    </row>
    <row r="44" spans="1:1" x14ac:dyDescent="0.2">
      <c r="A44" s="97" t="s">
        <v>138</v>
      </c>
    </row>
    <row r="45" spans="1:1" x14ac:dyDescent="0.2">
      <c r="A45" s="97" t="s">
        <v>139</v>
      </c>
    </row>
    <row r="46" spans="1:1" x14ac:dyDescent="0.2">
      <c r="A46" s="97" t="s">
        <v>140</v>
      </c>
    </row>
    <row r="47" spans="1:1" x14ac:dyDescent="0.2">
      <c r="A47" s="97" t="s">
        <v>141</v>
      </c>
    </row>
    <row r="48" spans="1:1" x14ac:dyDescent="0.2">
      <c r="A48" s="97" t="s">
        <v>142</v>
      </c>
    </row>
    <row r="49" spans="1:1" x14ac:dyDescent="0.2">
      <c r="A49" s="97" t="s">
        <v>143</v>
      </c>
    </row>
    <row r="50" spans="1:1" x14ac:dyDescent="0.2">
      <c r="A50" s="97" t="s">
        <v>144</v>
      </c>
    </row>
    <row r="51" spans="1:1" x14ac:dyDescent="0.2">
      <c r="A51" s="97" t="s">
        <v>145</v>
      </c>
    </row>
    <row r="52" spans="1:1" x14ac:dyDescent="0.2">
      <c r="A52" s="97" t="s">
        <v>146</v>
      </c>
    </row>
    <row r="53" spans="1:1" x14ac:dyDescent="0.2">
      <c r="A53" s="97" t="s">
        <v>147</v>
      </c>
    </row>
    <row r="54" spans="1:1" x14ac:dyDescent="0.2">
      <c r="A54" s="97" t="s">
        <v>148</v>
      </c>
    </row>
    <row r="55" spans="1:1" x14ac:dyDescent="0.2">
      <c r="A55" s="97" t="s">
        <v>149</v>
      </c>
    </row>
    <row r="56" spans="1:1" x14ac:dyDescent="0.2">
      <c r="A56" s="97" t="s">
        <v>150</v>
      </c>
    </row>
    <row r="57" spans="1:1" x14ac:dyDescent="0.2">
      <c r="A57" s="97" t="s">
        <v>151</v>
      </c>
    </row>
    <row r="58" spans="1:1" x14ac:dyDescent="0.2">
      <c r="A58" s="97" t="s">
        <v>152</v>
      </c>
    </row>
    <row r="59" spans="1:1" x14ac:dyDescent="0.2">
      <c r="A59" s="97" t="s">
        <v>153</v>
      </c>
    </row>
    <row r="60" spans="1:1" x14ac:dyDescent="0.2">
      <c r="A60" s="97" t="s">
        <v>154</v>
      </c>
    </row>
    <row r="61" spans="1:1" x14ac:dyDescent="0.2">
      <c r="A61" s="97" t="s">
        <v>155</v>
      </c>
    </row>
    <row r="62" spans="1:1" x14ac:dyDescent="0.2">
      <c r="A62" s="97" t="s">
        <v>156</v>
      </c>
    </row>
    <row r="63" spans="1:1" x14ac:dyDescent="0.2">
      <c r="A63" s="97" t="s">
        <v>157</v>
      </c>
    </row>
    <row r="64" spans="1:1" x14ac:dyDescent="0.2">
      <c r="A64" s="97" t="s">
        <v>158</v>
      </c>
    </row>
    <row r="65" spans="1:1" x14ac:dyDescent="0.2">
      <c r="A65" s="97" t="s">
        <v>159</v>
      </c>
    </row>
    <row r="66" spans="1:1" x14ac:dyDescent="0.2">
      <c r="A66" s="97" t="s">
        <v>160</v>
      </c>
    </row>
    <row r="67" spans="1:1" x14ac:dyDescent="0.2">
      <c r="A67" s="97" t="s">
        <v>161</v>
      </c>
    </row>
    <row r="68" spans="1:1" x14ac:dyDescent="0.2">
      <c r="A68" s="97" t="s">
        <v>162</v>
      </c>
    </row>
    <row r="69" spans="1:1" x14ac:dyDescent="0.2">
      <c r="A69" s="97" t="s">
        <v>163</v>
      </c>
    </row>
    <row r="70" spans="1:1" x14ac:dyDescent="0.2">
      <c r="A70" s="97" t="s">
        <v>164</v>
      </c>
    </row>
    <row r="71" spans="1:1" x14ac:dyDescent="0.2">
      <c r="A71" s="97" t="s">
        <v>165</v>
      </c>
    </row>
    <row r="72" spans="1:1" x14ac:dyDescent="0.2">
      <c r="A72" s="97" t="s">
        <v>166</v>
      </c>
    </row>
    <row r="73" spans="1:1" x14ac:dyDescent="0.2">
      <c r="A73" s="97" t="s">
        <v>167</v>
      </c>
    </row>
    <row r="74" spans="1:1" x14ac:dyDescent="0.2">
      <c r="A74" s="97" t="s">
        <v>168</v>
      </c>
    </row>
    <row r="75" spans="1:1" x14ac:dyDescent="0.2">
      <c r="A75" s="97" t="s">
        <v>169</v>
      </c>
    </row>
    <row r="76" spans="1:1" x14ac:dyDescent="0.2">
      <c r="A76" s="97" t="s">
        <v>170</v>
      </c>
    </row>
    <row r="77" spans="1:1" x14ac:dyDescent="0.2">
      <c r="A77" s="97" t="s">
        <v>171</v>
      </c>
    </row>
    <row r="78" spans="1:1" x14ac:dyDescent="0.2">
      <c r="A78" s="97" t="s">
        <v>172</v>
      </c>
    </row>
    <row r="79" spans="1:1" x14ac:dyDescent="0.2">
      <c r="A79" s="97" t="s">
        <v>173</v>
      </c>
    </row>
    <row r="80" spans="1:1" x14ac:dyDescent="0.2">
      <c r="A80" s="97" t="s">
        <v>174</v>
      </c>
    </row>
    <row r="81" spans="1:1" x14ac:dyDescent="0.2">
      <c r="A81" s="97" t="s">
        <v>175</v>
      </c>
    </row>
    <row r="82" spans="1:1" x14ac:dyDescent="0.2">
      <c r="A82" s="97" t="s">
        <v>176</v>
      </c>
    </row>
    <row r="83" spans="1:1" x14ac:dyDescent="0.2">
      <c r="A83" s="97" t="s">
        <v>177</v>
      </c>
    </row>
    <row r="84" spans="1:1" x14ac:dyDescent="0.2">
      <c r="A84" s="97" t="s">
        <v>178</v>
      </c>
    </row>
    <row r="85" spans="1:1" x14ac:dyDescent="0.2">
      <c r="A85" s="97" t="s">
        <v>179</v>
      </c>
    </row>
    <row r="86" spans="1:1" x14ac:dyDescent="0.2">
      <c r="A86" s="97" t="s">
        <v>180</v>
      </c>
    </row>
    <row r="87" spans="1:1" x14ac:dyDescent="0.2">
      <c r="A87" s="97" t="s">
        <v>181</v>
      </c>
    </row>
    <row r="88" spans="1:1" x14ac:dyDescent="0.2">
      <c r="A88" s="97" t="s">
        <v>182</v>
      </c>
    </row>
    <row r="89" spans="1:1" x14ac:dyDescent="0.2">
      <c r="A89" s="97" t="s">
        <v>183</v>
      </c>
    </row>
    <row r="16385" spans="1:1" x14ac:dyDescent="0.2">
      <c r="A16385" s="97" t="s">
        <v>95</v>
      </c>
    </row>
    <row r="16386" spans="1:1" x14ac:dyDescent="0.2">
      <c r="A16386" s="97" t="s">
        <v>96</v>
      </c>
    </row>
    <row r="16387" spans="1:1" x14ac:dyDescent="0.2">
      <c r="A16387" s="97" t="s">
        <v>97</v>
      </c>
    </row>
    <row r="16388" spans="1:1" x14ac:dyDescent="0.2">
      <c r="A16388" s="97" t="s">
        <v>98</v>
      </c>
    </row>
    <row r="16389" spans="1:1" x14ac:dyDescent="0.2">
      <c r="A16389" s="97" t="s">
        <v>99</v>
      </c>
    </row>
    <row r="16390" spans="1:1" x14ac:dyDescent="0.2">
      <c r="A16390" s="97" t="s">
        <v>100</v>
      </c>
    </row>
    <row r="16391" spans="1:1" x14ac:dyDescent="0.2">
      <c r="A16391" s="97" t="s">
        <v>101</v>
      </c>
    </row>
    <row r="16392" spans="1:1" x14ac:dyDescent="0.2">
      <c r="A16392" s="97" t="s">
        <v>102</v>
      </c>
    </row>
    <row r="16393" spans="1:1" x14ac:dyDescent="0.2">
      <c r="A16393" s="97" t="s">
        <v>103</v>
      </c>
    </row>
    <row r="16394" spans="1:1" x14ac:dyDescent="0.2">
      <c r="A16394" s="97" t="s">
        <v>104</v>
      </c>
    </row>
    <row r="16395" spans="1:1" x14ac:dyDescent="0.2">
      <c r="A16395" s="97" t="s">
        <v>105</v>
      </c>
    </row>
    <row r="16396" spans="1:1" x14ac:dyDescent="0.2">
      <c r="A16396" s="97" t="s">
        <v>106</v>
      </c>
    </row>
    <row r="16397" spans="1:1" x14ac:dyDescent="0.2">
      <c r="A16397" s="97" t="s">
        <v>107</v>
      </c>
    </row>
    <row r="16398" spans="1:1" x14ac:dyDescent="0.2">
      <c r="A16398" s="97" t="s">
        <v>108</v>
      </c>
    </row>
    <row r="16399" spans="1:1" x14ac:dyDescent="0.2">
      <c r="A16399" s="97" t="s">
        <v>109</v>
      </c>
    </row>
    <row r="16400" spans="1:1" x14ac:dyDescent="0.2">
      <c r="A16400" s="97" t="s">
        <v>110</v>
      </c>
    </row>
    <row r="16401" spans="1:1" x14ac:dyDescent="0.2">
      <c r="A16401" s="97" t="s">
        <v>111</v>
      </c>
    </row>
    <row r="16402" spans="1:1" x14ac:dyDescent="0.2">
      <c r="A16402" s="97" t="s">
        <v>112</v>
      </c>
    </row>
    <row r="16403" spans="1:1" x14ac:dyDescent="0.2">
      <c r="A16403" s="97" t="s">
        <v>113</v>
      </c>
    </row>
    <row r="16404" spans="1:1" x14ac:dyDescent="0.2">
      <c r="A16404" s="97" t="s">
        <v>114</v>
      </c>
    </row>
    <row r="16405" spans="1:1" x14ac:dyDescent="0.2">
      <c r="A16405" s="97" t="s">
        <v>115</v>
      </c>
    </row>
    <row r="16406" spans="1:1" x14ac:dyDescent="0.2">
      <c r="A16406" s="97" t="s">
        <v>116</v>
      </c>
    </row>
    <row r="16407" spans="1:1" x14ac:dyDescent="0.2">
      <c r="A16407" s="97" t="s">
        <v>117</v>
      </c>
    </row>
    <row r="16408" spans="1:1" x14ac:dyDescent="0.2">
      <c r="A16408" s="97" t="s">
        <v>118</v>
      </c>
    </row>
    <row r="16409" spans="1:1" x14ac:dyDescent="0.2">
      <c r="A16409" s="97" t="s">
        <v>119</v>
      </c>
    </row>
    <row r="16410" spans="1:1" x14ac:dyDescent="0.2">
      <c r="A16410" s="97" t="s">
        <v>120</v>
      </c>
    </row>
    <row r="16411" spans="1:1" x14ac:dyDescent="0.2">
      <c r="A16411" s="97" t="s">
        <v>121</v>
      </c>
    </row>
    <row r="16412" spans="1:1" x14ac:dyDescent="0.2">
      <c r="A16412" s="97" t="s">
        <v>122</v>
      </c>
    </row>
    <row r="16413" spans="1:1" x14ac:dyDescent="0.2">
      <c r="A16413" s="97" t="s">
        <v>123</v>
      </c>
    </row>
    <row r="16414" spans="1:1" x14ac:dyDescent="0.2">
      <c r="A16414" s="97" t="s">
        <v>124</v>
      </c>
    </row>
    <row r="16415" spans="1:1" x14ac:dyDescent="0.2">
      <c r="A16415" s="97" t="s">
        <v>125</v>
      </c>
    </row>
    <row r="16416" spans="1:1" x14ac:dyDescent="0.2">
      <c r="A16416" s="97" t="s">
        <v>126</v>
      </c>
    </row>
    <row r="16417" spans="1:1" x14ac:dyDescent="0.2">
      <c r="A16417" s="97" t="s">
        <v>127</v>
      </c>
    </row>
    <row r="16418" spans="1:1" x14ac:dyDescent="0.2">
      <c r="A16418" s="97" t="s">
        <v>128</v>
      </c>
    </row>
    <row r="16419" spans="1:1" x14ac:dyDescent="0.2">
      <c r="A16419" s="97" t="s">
        <v>129</v>
      </c>
    </row>
    <row r="16420" spans="1:1" x14ac:dyDescent="0.2">
      <c r="A16420" s="97" t="s">
        <v>130</v>
      </c>
    </row>
    <row r="16421" spans="1:1" x14ac:dyDescent="0.2">
      <c r="A16421" s="97" t="s">
        <v>131</v>
      </c>
    </row>
    <row r="16422" spans="1:1" x14ac:dyDescent="0.2">
      <c r="A16422" s="97" t="s">
        <v>132</v>
      </c>
    </row>
    <row r="16423" spans="1:1" x14ac:dyDescent="0.2">
      <c r="A16423" s="97" t="s">
        <v>133</v>
      </c>
    </row>
    <row r="16424" spans="1:1" x14ac:dyDescent="0.2">
      <c r="A16424" s="97" t="s">
        <v>134</v>
      </c>
    </row>
    <row r="16425" spans="1:1" x14ac:dyDescent="0.2">
      <c r="A16425" s="97" t="s">
        <v>135</v>
      </c>
    </row>
    <row r="16426" spans="1:1" x14ac:dyDescent="0.2">
      <c r="A16426" s="97" t="s">
        <v>136</v>
      </c>
    </row>
    <row r="16427" spans="1:1" x14ac:dyDescent="0.2">
      <c r="A16427" s="97" t="s">
        <v>137</v>
      </c>
    </row>
    <row r="16428" spans="1:1" x14ac:dyDescent="0.2">
      <c r="A16428" s="97" t="s">
        <v>138</v>
      </c>
    </row>
    <row r="16429" spans="1:1" x14ac:dyDescent="0.2">
      <c r="A16429" s="97" t="s">
        <v>139</v>
      </c>
    </row>
    <row r="16430" spans="1:1" x14ac:dyDescent="0.2">
      <c r="A16430" s="97" t="s">
        <v>140</v>
      </c>
    </row>
    <row r="16431" spans="1:1" x14ac:dyDescent="0.2">
      <c r="A16431" s="97" t="s">
        <v>141</v>
      </c>
    </row>
    <row r="16432" spans="1:1" x14ac:dyDescent="0.2">
      <c r="A16432" s="97" t="s">
        <v>142</v>
      </c>
    </row>
    <row r="16433" spans="1:1" x14ac:dyDescent="0.2">
      <c r="A16433" s="97" t="s">
        <v>143</v>
      </c>
    </row>
    <row r="16434" spans="1:1" x14ac:dyDescent="0.2">
      <c r="A16434" s="97" t="s">
        <v>144</v>
      </c>
    </row>
    <row r="16435" spans="1:1" x14ac:dyDescent="0.2">
      <c r="A16435" s="97" t="s">
        <v>145</v>
      </c>
    </row>
    <row r="16436" spans="1:1" x14ac:dyDescent="0.2">
      <c r="A16436" s="97" t="s">
        <v>146</v>
      </c>
    </row>
    <row r="16437" spans="1:1" x14ac:dyDescent="0.2">
      <c r="A16437" s="97" t="s">
        <v>147</v>
      </c>
    </row>
    <row r="16438" spans="1:1" x14ac:dyDescent="0.2">
      <c r="A16438" s="97" t="s">
        <v>148</v>
      </c>
    </row>
    <row r="16439" spans="1:1" x14ac:dyDescent="0.2">
      <c r="A16439" s="97" t="s">
        <v>149</v>
      </c>
    </row>
    <row r="16440" spans="1:1" x14ac:dyDescent="0.2">
      <c r="A16440" s="97" t="s">
        <v>150</v>
      </c>
    </row>
    <row r="16441" spans="1:1" x14ac:dyDescent="0.2">
      <c r="A16441" s="97" t="s">
        <v>151</v>
      </c>
    </row>
    <row r="16442" spans="1:1" x14ac:dyDescent="0.2">
      <c r="A16442" s="97" t="s">
        <v>152</v>
      </c>
    </row>
    <row r="16443" spans="1:1" x14ac:dyDescent="0.2">
      <c r="A16443" s="97" t="s">
        <v>153</v>
      </c>
    </row>
    <row r="16444" spans="1:1" x14ac:dyDescent="0.2">
      <c r="A16444" s="97" t="s">
        <v>154</v>
      </c>
    </row>
    <row r="16445" spans="1:1" x14ac:dyDescent="0.2">
      <c r="A16445" s="97" t="s">
        <v>155</v>
      </c>
    </row>
    <row r="16446" spans="1:1" x14ac:dyDescent="0.2">
      <c r="A16446" s="97" t="s">
        <v>156</v>
      </c>
    </row>
    <row r="16447" spans="1:1" x14ac:dyDescent="0.2">
      <c r="A16447" s="97" t="s">
        <v>157</v>
      </c>
    </row>
    <row r="16448" spans="1:1" x14ac:dyDescent="0.2">
      <c r="A16448" s="97" t="s">
        <v>158</v>
      </c>
    </row>
    <row r="16449" spans="1:1" x14ac:dyDescent="0.2">
      <c r="A16449" s="97" t="s">
        <v>159</v>
      </c>
    </row>
    <row r="16450" spans="1:1" x14ac:dyDescent="0.2">
      <c r="A16450" s="97" t="s">
        <v>160</v>
      </c>
    </row>
    <row r="16451" spans="1:1" x14ac:dyDescent="0.2">
      <c r="A16451" s="97" t="s">
        <v>161</v>
      </c>
    </row>
    <row r="16452" spans="1:1" x14ac:dyDescent="0.2">
      <c r="A16452" s="97" t="s">
        <v>162</v>
      </c>
    </row>
    <row r="16453" spans="1:1" x14ac:dyDescent="0.2">
      <c r="A16453" s="97" t="s">
        <v>163</v>
      </c>
    </row>
    <row r="16454" spans="1:1" x14ac:dyDescent="0.2">
      <c r="A16454" s="97" t="s">
        <v>164</v>
      </c>
    </row>
    <row r="16455" spans="1:1" x14ac:dyDescent="0.2">
      <c r="A16455" s="97" t="s">
        <v>165</v>
      </c>
    </row>
    <row r="16456" spans="1:1" x14ac:dyDescent="0.2">
      <c r="A16456" s="97" t="s">
        <v>166</v>
      </c>
    </row>
    <row r="16457" spans="1:1" x14ac:dyDescent="0.2">
      <c r="A16457" s="97" t="s">
        <v>167</v>
      </c>
    </row>
    <row r="16458" spans="1:1" x14ac:dyDescent="0.2">
      <c r="A16458" s="97" t="s">
        <v>168</v>
      </c>
    </row>
    <row r="16459" spans="1:1" x14ac:dyDescent="0.2">
      <c r="A16459" s="97" t="s">
        <v>169</v>
      </c>
    </row>
    <row r="16460" spans="1:1" x14ac:dyDescent="0.2">
      <c r="A16460" s="97" t="s">
        <v>170</v>
      </c>
    </row>
    <row r="16461" spans="1:1" x14ac:dyDescent="0.2">
      <c r="A16461" s="97" t="s">
        <v>171</v>
      </c>
    </row>
    <row r="16462" spans="1:1" x14ac:dyDescent="0.2">
      <c r="A16462" s="97" t="s">
        <v>172</v>
      </c>
    </row>
    <row r="16463" spans="1:1" x14ac:dyDescent="0.2">
      <c r="A16463" s="97" t="s">
        <v>173</v>
      </c>
    </row>
    <row r="16464" spans="1:1" x14ac:dyDescent="0.2">
      <c r="A16464" s="97" t="s">
        <v>174</v>
      </c>
    </row>
    <row r="16465" spans="1:1" x14ac:dyDescent="0.2">
      <c r="A16465" s="97" t="s">
        <v>175</v>
      </c>
    </row>
    <row r="16466" spans="1:1" x14ac:dyDescent="0.2">
      <c r="A16466" s="97" t="s">
        <v>176</v>
      </c>
    </row>
    <row r="16467" spans="1:1" x14ac:dyDescent="0.2">
      <c r="A16467" s="97" t="s">
        <v>177</v>
      </c>
    </row>
    <row r="16468" spans="1:1" x14ac:dyDescent="0.2">
      <c r="A16468" s="97" t="s">
        <v>178</v>
      </c>
    </row>
    <row r="16469" spans="1:1" x14ac:dyDescent="0.2">
      <c r="A16469" s="97" t="s">
        <v>179</v>
      </c>
    </row>
    <row r="16470" spans="1:1" x14ac:dyDescent="0.2">
      <c r="A16470" s="97" t="s">
        <v>180</v>
      </c>
    </row>
    <row r="16471" spans="1:1" x14ac:dyDescent="0.2">
      <c r="A16471" s="97" t="s">
        <v>181</v>
      </c>
    </row>
    <row r="16472" spans="1:1" x14ac:dyDescent="0.2">
      <c r="A16472" s="97" t="s">
        <v>182</v>
      </c>
    </row>
    <row r="16473" spans="1:1" x14ac:dyDescent="0.2">
      <c r="A16473" s="97" t="s">
        <v>183</v>
      </c>
    </row>
    <row r="32769" spans="1:1" x14ac:dyDescent="0.2">
      <c r="A32769" s="97" t="s">
        <v>95</v>
      </c>
    </row>
    <row r="32770" spans="1:1" x14ac:dyDescent="0.2">
      <c r="A32770" s="97" t="s">
        <v>96</v>
      </c>
    </row>
    <row r="32771" spans="1:1" x14ac:dyDescent="0.2">
      <c r="A32771" s="97" t="s">
        <v>97</v>
      </c>
    </row>
    <row r="32772" spans="1:1" x14ac:dyDescent="0.2">
      <c r="A32772" s="97" t="s">
        <v>98</v>
      </c>
    </row>
    <row r="32773" spans="1:1" x14ac:dyDescent="0.2">
      <c r="A32773" s="97" t="s">
        <v>99</v>
      </c>
    </row>
    <row r="32774" spans="1:1" x14ac:dyDescent="0.2">
      <c r="A32774" s="97" t="s">
        <v>100</v>
      </c>
    </row>
    <row r="32775" spans="1:1" x14ac:dyDescent="0.2">
      <c r="A32775" s="97" t="s">
        <v>101</v>
      </c>
    </row>
    <row r="32776" spans="1:1" x14ac:dyDescent="0.2">
      <c r="A32776" s="97" t="s">
        <v>102</v>
      </c>
    </row>
    <row r="32777" spans="1:1" x14ac:dyDescent="0.2">
      <c r="A32777" s="97" t="s">
        <v>103</v>
      </c>
    </row>
    <row r="32778" spans="1:1" x14ac:dyDescent="0.2">
      <c r="A32778" s="97" t="s">
        <v>104</v>
      </c>
    </row>
    <row r="32779" spans="1:1" x14ac:dyDescent="0.2">
      <c r="A32779" s="97" t="s">
        <v>105</v>
      </c>
    </row>
    <row r="32780" spans="1:1" x14ac:dyDescent="0.2">
      <c r="A32780" s="97" t="s">
        <v>106</v>
      </c>
    </row>
    <row r="32781" spans="1:1" x14ac:dyDescent="0.2">
      <c r="A32781" s="97" t="s">
        <v>107</v>
      </c>
    </row>
    <row r="32782" spans="1:1" x14ac:dyDescent="0.2">
      <c r="A32782" s="97" t="s">
        <v>108</v>
      </c>
    </row>
    <row r="32783" spans="1:1" x14ac:dyDescent="0.2">
      <c r="A32783" s="97" t="s">
        <v>109</v>
      </c>
    </row>
    <row r="32784" spans="1:1" x14ac:dyDescent="0.2">
      <c r="A32784" s="97" t="s">
        <v>110</v>
      </c>
    </row>
    <row r="32785" spans="1:1" x14ac:dyDescent="0.2">
      <c r="A32785" s="97" t="s">
        <v>111</v>
      </c>
    </row>
    <row r="32786" spans="1:1" x14ac:dyDescent="0.2">
      <c r="A32786" s="97" t="s">
        <v>112</v>
      </c>
    </row>
    <row r="32787" spans="1:1" x14ac:dyDescent="0.2">
      <c r="A32787" s="97" t="s">
        <v>113</v>
      </c>
    </row>
    <row r="32788" spans="1:1" x14ac:dyDescent="0.2">
      <c r="A32788" s="97" t="s">
        <v>114</v>
      </c>
    </row>
    <row r="32789" spans="1:1" x14ac:dyDescent="0.2">
      <c r="A32789" s="97" t="s">
        <v>115</v>
      </c>
    </row>
    <row r="32790" spans="1:1" x14ac:dyDescent="0.2">
      <c r="A32790" s="97" t="s">
        <v>116</v>
      </c>
    </row>
    <row r="32791" spans="1:1" x14ac:dyDescent="0.2">
      <c r="A32791" s="97" t="s">
        <v>117</v>
      </c>
    </row>
    <row r="32792" spans="1:1" x14ac:dyDescent="0.2">
      <c r="A32792" s="97" t="s">
        <v>118</v>
      </c>
    </row>
    <row r="32793" spans="1:1" x14ac:dyDescent="0.2">
      <c r="A32793" s="97" t="s">
        <v>119</v>
      </c>
    </row>
    <row r="32794" spans="1:1" x14ac:dyDescent="0.2">
      <c r="A32794" s="97" t="s">
        <v>120</v>
      </c>
    </row>
    <row r="32795" spans="1:1" x14ac:dyDescent="0.2">
      <c r="A32795" s="97" t="s">
        <v>121</v>
      </c>
    </row>
    <row r="32796" spans="1:1" x14ac:dyDescent="0.2">
      <c r="A32796" s="97" t="s">
        <v>122</v>
      </c>
    </row>
    <row r="32797" spans="1:1" x14ac:dyDescent="0.2">
      <c r="A32797" s="97" t="s">
        <v>123</v>
      </c>
    </row>
    <row r="32798" spans="1:1" x14ac:dyDescent="0.2">
      <c r="A32798" s="97" t="s">
        <v>124</v>
      </c>
    </row>
    <row r="32799" spans="1:1" x14ac:dyDescent="0.2">
      <c r="A32799" s="97" t="s">
        <v>125</v>
      </c>
    </row>
    <row r="32800" spans="1:1" x14ac:dyDescent="0.2">
      <c r="A32800" s="97" t="s">
        <v>126</v>
      </c>
    </row>
    <row r="32801" spans="1:1" x14ac:dyDescent="0.2">
      <c r="A32801" s="97" t="s">
        <v>127</v>
      </c>
    </row>
    <row r="32802" spans="1:1" x14ac:dyDescent="0.2">
      <c r="A32802" s="97" t="s">
        <v>128</v>
      </c>
    </row>
    <row r="32803" spans="1:1" x14ac:dyDescent="0.2">
      <c r="A32803" s="97" t="s">
        <v>129</v>
      </c>
    </row>
    <row r="32804" spans="1:1" x14ac:dyDescent="0.2">
      <c r="A32804" s="97" t="s">
        <v>130</v>
      </c>
    </row>
    <row r="32805" spans="1:1" x14ac:dyDescent="0.2">
      <c r="A32805" s="97" t="s">
        <v>131</v>
      </c>
    </row>
    <row r="32806" spans="1:1" x14ac:dyDescent="0.2">
      <c r="A32806" s="97" t="s">
        <v>132</v>
      </c>
    </row>
    <row r="32807" spans="1:1" x14ac:dyDescent="0.2">
      <c r="A32807" s="97" t="s">
        <v>133</v>
      </c>
    </row>
    <row r="32808" spans="1:1" x14ac:dyDescent="0.2">
      <c r="A32808" s="97" t="s">
        <v>134</v>
      </c>
    </row>
    <row r="32809" spans="1:1" x14ac:dyDescent="0.2">
      <c r="A32809" s="97" t="s">
        <v>135</v>
      </c>
    </row>
    <row r="32810" spans="1:1" x14ac:dyDescent="0.2">
      <c r="A32810" s="97" t="s">
        <v>136</v>
      </c>
    </row>
    <row r="32811" spans="1:1" x14ac:dyDescent="0.2">
      <c r="A32811" s="97" t="s">
        <v>137</v>
      </c>
    </row>
    <row r="32812" spans="1:1" x14ac:dyDescent="0.2">
      <c r="A32812" s="97" t="s">
        <v>138</v>
      </c>
    </row>
    <row r="32813" spans="1:1" x14ac:dyDescent="0.2">
      <c r="A32813" s="97" t="s">
        <v>139</v>
      </c>
    </row>
    <row r="32814" spans="1:1" x14ac:dyDescent="0.2">
      <c r="A32814" s="97" t="s">
        <v>140</v>
      </c>
    </row>
    <row r="32815" spans="1:1" x14ac:dyDescent="0.2">
      <c r="A32815" s="97" t="s">
        <v>141</v>
      </c>
    </row>
    <row r="32816" spans="1:1" x14ac:dyDescent="0.2">
      <c r="A32816" s="97" t="s">
        <v>142</v>
      </c>
    </row>
    <row r="32817" spans="1:1" x14ac:dyDescent="0.2">
      <c r="A32817" s="97" t="s">
        <v>143</v>
      </c>
    </row>
    <row r="32818" spans="1:1" x14ac:dyDescent="0.2">
      <c r="A32818" s="97" t="s">
        <v>144</v>
      </c>
    </row>
    <row r="32819" spans="1:1" x14ac:dyDescent="0.2">
      <c r="A32819" s="97" t="s">
        <v>145</v>
      </c>
    </row>
    <row r="32820" spans="1:1" x14ac:dyDescent="0.2">
      <c r="A32820" s="97" t="s">
        <v>146</v>
      </c>
    </row>
    <row r="32821" spans="1:1" x14ac:dyDescent="0.2">
      <c r="A32821" s="97" t="s">
        <v>147</v>
      </c>
    </row>
    <row r="32822" spans="1:1" x14ac:dyDescent="0.2">
      <c r="A32822" s="97" t="s">
        <v>148</v>
      </c>
    </row>
    <row r="32823" spans="1:1" x14ac:dyDescent="0.2">
      <c r="A32823" s="97" t="s">
        <v>149</v>
      </c>
    </row>
    <row r="32824" spans="1:1" x14ac:dyDescent="0.2">
      <c r="A32824" s="97" t="s">
        <v>150</v>
      </c>
    </row>
    <row r="32825" spans="1:1" x14ac:dyDescent="0.2">
      <c r="A32825" s="97" t="s">
        <v>151</v>
      </c>
    </row>
    <row r="32826" spans="1:1" x14ac:dyDescent="0.2">
      <c r="A32826" s="97" t="s">
        <v>152</v>
      </c>
    </row>
    <row r="32827" spans="1:1" x14ac:dyDescent="0.2">
      <c r="A32827" s="97" t="s">
        <v>153</v>
      </c>
    </row>
    <row r="32828" spans="1:1" x14ac:dyDescent="0.2">
      <c r="A32828" s="97" t="s">
        <v>154</v>
      </c>
    </row>
    <row r="32829" spans="1:1" x14ac:dyDescent="0.2">
      <c r="A32829" s="97" t="s">
        <v>155</v>
      </c>
    </row>
    <row r="32830" spans="1:1" x14ac:dyDescent="0.2">
      <c r="A32830" s="97" t="s">
        <v>156</v>
      </c>
    </row>
    <row r="32831" spans="1:1" x14ac:dyDescent="0.2">
      <c r="A32831" s="97" t="s">
        <v>157</v>
      </c>
    </row>
    <row r="32832" spans="1:1" x14ac:dyDescent="0.2">
      <c r="A32832" s="97" t="s">
        <v>158</v>
      </c>
    </row>
    <row r="32833" spans="1:1" x14ac:dyDescent="0.2">
      <c r="A32833" s="97" t="s">
        <v>159</v>
      </c>
    </row>
    <row r="32834" spans="1:1" x14ac:dyDescent="0.2">
      <c r="A32834" s="97" t="s">
        <v>160</v>
      </c>
    </row>
    <row r="32835" spans="1:1" x14ac:dyDescent="0.2">
      <c r="A32835" s="97" t="s">
        <v>161</v>
      </c>
    </row>
    <row r="32836" spans="1:1" x14ac:dyDescent="0.2">
      <c r="A32836" s="97" t="s">
        <v>162</v>
      </c>
    </row>
    <row r="32837" spans="1:1" x14ac:dyDescent="0.2">
      <c r="A32837" s="97" t="s">
        <v>163</v>
      </c>
    </row>
    <row r="32838" spans="1:1" x14ac:dyDescent="0.2">
      <c r="A32838" s="97" t="s">
        <v>164</v>
      </c>
    </row>
    <row r="32839" spans="1:1" x14ac:dyDescent="0.2">
      <c r="A32839" s="97" t="s">
        <v>165</v>
      </c>
    </row>
    <row r="32840" spans="1:1" x14ac:dyDescent="0.2">
      <c r="A32840" s="97" t="s">
        <v>166</v>
      </c>
    </row>
    <row r="32841" spans="1:1" x14ac:dyDescent="0.2">
      <c r="A32841" s="97" t="s">
        <v>167</v>
      </c>
    </row>
    <row r="32842" spans="1:1" x14ac:dyDescent="0.2">
      <c r="A32842" s="97" t="s">
        <v>168</v>
      </c>
    </row>
    <row r="32843" spans="1:1" x14ac:dyDescent="0.2">
      <c r="A32843" s="97" t="s">
        <v>169</v>
      </c>
    </row>
    <row r="32844" spans="1:1" x14ac:dyDescent="0.2">
      <c r="A32844" s="97" t="s">
        <v>170</v>
      </c>
    </row>
    <row r="32845" spans="1:1" x14ac:dyDescent="0.2">
      <c r="A32845" s="97" t="s">
        <v>171</v>
      </c>
    </row>
    <row r="32846" spans="1:1" x14ac:dyDescent="0.2">
      <c r="A32846" s="97" t="s">
        <v>172</v>
      </c>
    </row>
    <row r="32847" spans="1:1" x14ac:dyDescent="0.2">
      <c r="A32847" s="97" t="s">
        <v>173</v>
      </c>
    </row>
    <row r="32848" spans="1:1" x14ac:dyDescent="0.2">
      <c r="A32848" s="97" t="s">
        <v>174</v>
      </c>
    </row>
    <row r="32849" spans="1:1" x14ac:dyDescent="0.2">
      <c r="A32849" s="97" t="s">
        <v>175</v>
      </c>
    </row>
    <row r="32850" spans="1:1" x14ac:dyDescent="0.2">
      <c r="A32850" s="97" t="s">
        <v>176</v>
      </c>
    </row>
    <row r="32851" spans="1:1" x14ac:dyDescent="0.2">
      <c r="A32851" s="97" t="s">
        <v>177</v>
      </c>
    </row>
    <row r="32852" spans="1:1" x14ac:dyDescent="0.2">
      <c r="A32852" s="97" t="s">
        <v>178</v>
      </c>
    </row>
    <row r="32853" spans="1:1" x14ac:dyDescent="0.2">
      <c r="A32853" s="97" t="s">
        <v>179</v>
      </c>
    </row>
    <row r="32854" spans="1:1" x14ac:dyDescent="0.2">
      <c r="A32854" s="97" t="s">
        <v>180</v>
      </c>
    </row>
    <row r="32855" spans="1:1" x14ac:dyDescent="0.2">
      <c r="A32855" s="97" t="s">
        <v>181</v>
      </c>
    </row>
    <row r="32856" spans="1:1" x14ac:dyDescent="0.2">
      <c r="A32856" s="97" t="s">
        <v>182</v>
      </c>
    </row>
    <row r="32857" spans="1:1" x14ac:dyDescent="0.2">
      <c r="A32857" s="97" t="s">
        <v>183</v>
      </c>
    </row>
    <row r="49153" spans="1:1" x14ac:dyDescent="0.2">
      <c r="A49153" s="97" t="s">
        <v>95</v>
      </c>
    </row>
    <row r="49154" spans="1:1" x14ac:dyDescent="0.2">
      <c r="A49154" s="97" t="s">
        <v>96</v>
      </c>
    </row>
    <row r="49155" spans="1:1" x14ac:dyDescent="0.2">
      <c r="A49155" s="97" t="s">
        <v>97</v>
      </c>
    </row>
    <row r="49156" spans="1:1" x14ac:dyDescent="0.2">
      <c r="A49156" s="97" t="s">
        <v>98</v>
      </c>
    </row>
    <row r="49157" spans="1:1" x14ac:dyDescent="0.2">
      <c r="A49157" s="97" t="s">
        <v>99</v>
      </c>
    </row>
    <row r="49158" spans="1:1" x14ac:dyDescent="0.2">
      <c r="A49158" s="97" t="s">
        <v>100</v>
      </c>
    </row>
    <row r="49159" spans="1:1" x14ac:dyDescent="0.2">
      <c r="A49159" s="97" t="s">
        <v>101</v>
      </c>
    </row>
    <row r="49160" spans="1:1" x14ac:dyDescent="0.2">
      <c r="A49160" s="97" t="s">
        <v>102</v>
      </c>
    </row>
    <row r="49161" spans="1:1" x14ac:dyDescent="0.2">
      <c r="A49161" s="97" t="s">
        <v>103</v>
      </c>
    </row>
    <row r="49162" spans="1:1" x14ac:dyDescent="0.2">
      <c r="A49162" s="97" t="s">
        <v>104</v>
      </c>
    </row>
    <row r="49163" spans="1:1" x14ac:dyDescent="0.2">
      <c r="A49163" s="97" t="s">
        <v>105</v>
      </c>
    </row>
    <row r="49164" spans="1:1" x14ac:dyDescent="0.2">
      <c r="A49164" s="97" t="s">
        <v>106</v>
      </c>
    </row>
    <row r="49165" spans="1:1" x14ac:dyDescent="0.2">
      <c r="A49165" s="97" t="s">
        <v>107</v>
      </c>
    </row>
    <row r="49166" spans="1:1" x14ac:dyDescent="0.2">
      <c r="A49166" s="97" t="s">
        <v>108</v>
      </c>
    </row>
    <row r="49167" spans="1:1" x14ac:dyDescent="0.2">
      <c r="A49167" s="97" t="s">
        <v>109</v>
      </c>
    </row>
    <row r="49168" spans="1:1" x14ac:dyDescent="0.2">
      <c r="A49168" s="97" t="s">
        <v>110</v>
      </c>
    </row>
    <row r="49169" spans="1:1" x14ac:dyDescent="0.2">
      <c r="A49169" s="97" t="s">
        <v>111</v>
      </c>
    </row>
    <row r="49170" spans="1:1" x14ac:dyDescent="0.2">
      <c r="A49170" s="97" t="s">
        <v>112</v>
      </c>
    </row>
    <row r="49171" spans="1:1" x14ac:dyDescent="0.2">
      <c r="A49171" s="97" t="s">
        <v>113</v>
      </c>
    </row>
    <row r="49172" spans="1:1" x14ac:dyDescent="0.2">
      <c r="A49172" s="97" t="s">
        <v>114</v>
      </c>
    </row>
    <row r="49173" spans="1:1" x14ac:dyDescent="0.2">
      <c r="A49173" s="97" t="s">
        <v>115</v>
      </c>
    </row>
    <row r="49174" spans="1:1" x14ac:dyDescent="0.2">
      <c r="A49174" s="97" t="s">
        <v>116</v>
      </c>
    </row>
    <row r="49175" spans="1:1" x14ac:dyDescent="0.2">
      <c r="A49175" s="97" t="s">
        <v>117</v>
      </c>
    </row>
    <row r="49176" spans="1:1" x14ac:dyDescent="0.2">
      <c r="A49176" s="97" t="s">
        <v>118</v>
      </c>
    </row>
    <row r="49177" spans="1:1" x14ac:dyDescent="0.2">
      <c r="A49177" s="97" t="s">
        <v>119</v>
      </c>
    </row>
    <row r="49178" spans="1:1" x14ac:dyDescent="0.2">
      <c r="A49178" s="97" t="s">
        <v>120</v>
      </c>
    </row>
    <row r="49179" spans="1:1" x14ac:dyDescent="0.2">
      <c r="A49179" s="97" t="s">
        <v>121</v>
      </c>
    </row>
    <row r="49180" spans="1:1" x14ac:dyDescent="0.2">
      <c r="A49180" s="97" t="s">
        <v>122</v>
      </c>
    </row>
    <row r="49181" spans="1:1" x14ac:dyDescent="0.2">
      <c r="A49181" s="97" t="s">
        <v>123</v>
      </c>
    </row>
    <row r="49182" spans="1:1" x14ac:dyDescent="0.2">
      <c r="A49182" s="97" t="s">
        <v>124</v>
      </c>
    </row>
    <row r="49183" spans="1:1" x14ac:dyDescent="0.2">
      <c r="A49183" s="97" t="s">
        <v>125</v>
      </c>
    </row>
    <row r="49184" spans="1:1" x14ac:dyDescent="0.2">
      <c r="A49184" s="97" t="s">
        <v>126</v>
      </c>
    </row>
    <row r="49185" spans="1:1" x14ac:dyDescent="0.2">
      <c r="A49185" s="97" t="s">
        <v>127</v>
      </c>
    </row>
    <row r="49186" spans="1:1" x14ac:dyDescent="0.2">
      <c r="A49186" s="97" t="s">
        <v>128</v>
      </c>
    </row>
    <row r="49187" spans="1:1" x14ac:dyDescent="0.2">
      <c r="A49187" s="97" t="s">
        <v>129</v>
      </c>
    </row>
    <row r="49188" spans="1:1" x14ac:dyDescent="0.2">
      <c r="A49188" s="97" t="s">
        <v>130</v>
      </c>
    </row>
    <row r="49189" spans="1:1" x14ac:dyDescent="0.2">
      <c r="A49189" s="97" t="s">
        <v>131</v>
      </c>
    </row>
    <row r="49190" spans="1:1" x14ac:dyDescent="0.2">
      <c r="A49190" s="97" t="s">
        <v>132</v>
      </c>
    </row>
    <row r="49191" spans="1:1" x14ac:dyDescent="0.2">
      <c r="A49191" s="97" t="s">
        <v>133</v>
      </c>
    </row>
    <row r="49192" spans="1:1" x14ac:dyDescent="0.2">
      <c r="A49192" s="97" t="s">
        <v>134</v>
      </c>
    </row>
    <row r="49193" spans="1:1" x14ac:dyDescent="0.2">
      <c r="A49193" s="97" t="s">
        <v>135</v>
      </c>
    </row>
    <row r="49194" spans="1:1" x14ac:dyDescent="0.2">
      <c r="A49194" s="97" t="s">
        <v>136</v>
      </c>
    </row>
    <row r="49195" spans="1:1" x14ac:dyDescent="0.2">
      <c r="A49195" s="97" t="s">
        <v>137</v>
      </c>
    </row>
    <row r="49196" spans="1:1" x14ac:dyDescent="0.2">
      <c r="A49196" s="97" t="s">
        <v>138</v>
      </c>
    </row>
    <row r="49197" spans="1:1" x14ac:dyDescent="0.2">
      <c r="A49197" s="97" t="s">
        <v>139</v>
      </c>
    </row>
    <row r="49198" spans="1:1" x14ac:dyDescent="0.2">
      <c r="A49198" s="97" t="s">
        <v>140</v>
      </c>
    </row>
    <row r="49199" spans="1:1" x14ac:dyDescent="0.2">
      <c r="A49199" s="97" t="s">
        <v>141</v>
      </c>
    </row>
    <row r="49200" spans="1:1" x14ac:dyDescent="0.2">
      <c r="A49200" s="97" t="s">
        <v>142</v>
      </c>
    </row>
    <row r="49201" spans="1:1" x14ac:dyDescent="0.2">
      <c r="A49201" s="97" t="s">
        <v>143</v>
      </c>
    </row>
    <row r="49202" spans="1:1" x14ac:dyDescent="0.2">
      <c r="A49202" s="97" t="s">
        <v>144</v>
      </c>
    </row>
    <row r="49203" spans="1:1" x14ac:dyDescent="0.2">
      <c r="A49203" s="97" t="s">
        <v>145</v>
      </c>
    </row>
    <row r="49204" spans="1:1" x14ac:dyDescent="0.2">
      <c r="A49204" s="97" t="s">
        <v>146</v>
      </c>
    </row>
    <row r="49205" spans="1:1" x14ac:dyDescent="0.2">
      <c r="A49205" s="97" t="s">
        <v>147</v>
      </c>
    </row>
    <row r="49206" spans="1:1" x14ac:dyDescent="0.2">
      <c r="A49206" s="97" t="s">
        <v>148</v>
      </c>
    </row>
    <row r="49207" spans="1:1" x14ac:dyDescent="0.2">
      <c r="A49207" s="97" t="s">
        <v>149</v>
      </c>
    </row>
    <row r="49208" spans="1:1" x14ac:dyDescent="0.2">
      <c r="A49208" s="97" t="s">
        <v>150</v>
      </c>
    </row>
    <row r="49209" spans="1:1" x14ac:dyDescent="0.2">
      <c r="A49209" s="97" t="s">
        <v>151</v>
      </c>
    </row>
    <row r="49210" spans="1:1" x14ac:dyDescent="0.2">
      <c r="A49210" s="97" t="s">
        <v>152</v>
      </c>
    </row>
    <row r="49211" spans="1:1" x14ac:dyDescent="0.2">
      <c r="A49211" s="97" t="s">
        <v>153</v>
      </c>
    </row>
    <row r="49212" spans="1:1" x14ac:dyDescent="0.2">
      <c r="A49212" s="97" t="s">
        <v>154</v>
      </c>
    </row>
    <row r="49213" spans="1:1" x14ac:dyDescent="0.2">
      <c r="A49213" s="97" t="s">
        <v>155</v>
      </c>
    </row>
    <row r="49214" spans="1:1" x14ac:dyDescent="0.2">
      <c r="A49214" s="97" t="s">
        <v>156</v>
      </c>
    </row>
    <row r="49215" spans="1:1" x14ac:dyDescent="0.2">
      <c r="A49215" s="97" t="s">
        <v>157</v>
      </c>
    </row>
    <row r="49216" spans="1:1" x14ac:dyDescent="0.2">
      <c r="A49216" s="97" t="s">
        <v>158</v>
      </c>
    </row>
    <row r="49217" spans="1:1" x14ac:dyDescent="0.2">
      <c r="A49217" s="97" t="s">
        <v>159</v>
      </c>
    </row>
    <row r="49218" spans="1:1" x14ac:dyDescent="0.2">
      <c r="A49218" s="97" t="s">
        <v>160</v>
      </c>
    </row>
    <row r="49219" spans="1:1" x14ac:dyDescent="0.2">
      <c r="A49219" s="97" t="s">
        <v>161</v>
      </c>
    </row>
    <row r="49220" spans="1:1" x14ac:dyDescent="0.2">
      <c r="A49220" s="97" t="s">
        <v>162</v>
      </c>
    </row>
    <row r="49221" spans="1:1" x14ac:dyDescent="0.2">
      <c r="A49221" s="97" t="s">
        <v>163</v>
      </c>
    </row>
    <row r="49222" spans="1:1" x14ac:dyDescent="0.2">
      <c r="A49222" s="97" t="s">
        <v>164</v>
      </c>
    </row>
    <row r="49223" spans="1:1" x14ac:dyDescent="0.2">
      <c r="A49223" s="97" t="s">
        <v>165</v>
      </c>
    </row>
    <row r="49224" spans="1:1" x14ac:dyDescent="0.2">
      <c r="A49224" s="97" t="s">
        <v>166</v>
      </c>
    </row>
    <row r="49225" spans="1:1" x14ac:dyDescent="0.2">
      <c r="A49225" s="97" t="s">
        <v>167</v>
      </c>
    </row>
    <row r="49226" spans="1:1" x14ac:dyDescent="0.2">
      <c r="A49226" s="97" t="s">
        <v>168</v>
      </c>
    </row>
    <row r="49227" spans="1:1" x14ac:dyDescent="0.2">
      <c r="A49227" s="97" t="s">
        <v>169</v>
      </c>
    </row>
    <row r="49228" spans="1:1" x14ac:dyDescent="0.2">
      <c r="A49228" s="97" t="s">
        <v>170</v>
      </c>
    </row>
    <row r="49229" spans="1:1" x14ac:dyDescent="0.2">
      <c r="A49229" s="97" t="s">
        <v>171</v>
      </c>
    </row>
    <row r="49230" spans="1:1" x14ac:dyDescent="0.2">
      <c r="A49230" s="97" t="s">
        <v>172</v>
      </c>
    </row>
    <row r="49231" spans="1:1" x14ac:dyDescent="0.2">
      <c r="A49231" s="97" t="s">
        <v>173</v>
      </c>
    </row>
    <row r="49232" spans="1:1" x14ac:dyDescent="0.2">
      <c r="A49232" s="97" t="s">
        <v>174</v>
      </c>
    </row>
    <row r="49233" spans="1:1" x14ac:dyDescent="0.2">
      <c r="A49233" s="97" t="s">
        <v>175</v>
      </c>
    </row>
    <row r="49234" spans="1:1" x14ac:dyDescent="0.2">
      <c r="A49234" s="97" t="s">
        <v>176</v>
      </c>
    </row>
    <row r="49235" spans="1:1" x14ac:dyDescent="0.2">
      <c r="A49235" s="97" t="s">
        <v>177</v>
      </c>
    </row>
    <row r="49236" spans="1:1" x14ac:dyDescent="0.2">
      <c r="A49236" s="97" t="s">
        <v>178</v>
      </c>
    </row>
    <row r="49237" spans="1:1" x14ac:dyDescent="0.2">
      <c r="A49237" s="97" t="s">
        <v>179</v>
      </c>
    </row>
    <row r="49238" spans="1:1" x14ac:dyDescent="0.2">
      <c r="A49238" s="97" t="s">
        <v>180</v>
      </c>
    </row>
    <row r="49239" spans="1:1" x14ac:dyDescent="0.2">
      <c r="A49239" s="97" t="s">
        <v>181</v>
      </c>
    </row>
    <row r="49240" spans="1:1" x14ac:dyDescent="0.2">
      <c r="A49240" s="97" t="s">
        <v>182</v>
      </c>
    </row>
    <row r="49241" spans="1:1" x14ac:dyDescent="0.2">
      <c r="A49241" s="97" t="s">
        <v>183</v>
      </c>
    </row>
    <row r="65537" spans="1:1" x14ac:dyDescent="0.2">
      <c r="A65537" s="97" t="s">
        <v>95</v>
      </c>
    </row>
    <row r="65538" spans="1:1" x14ac:dyDescent="0.2">
      <c r="A65538" s="97" t="s">
        <v>96</v>
      </c>
    </row>
    <row r="65539" spans="1:1" x14ac:dyDescent="0.2">
      <c r="A65539" s="97" t="s">
        <v>97</v>
      </c>
    </row>
    <row r="65540" spans="1:1" x14ac:dyDescent="0.2">
      <c r="A65540" s="97" t="s">
        <v>98</v>
      </c>
    </row>
    <row r="65541" spans="1:1" x14ac:dyDescent="0.2">
      <c r="A65541" s="97" t="s">
        <v>99</v>
      </c>
    </row>
    <row r="65542" spans="1:1" x14ac:dyDescent="0.2">
      <c r="A65542" s="97" t="s">
        <v>100</v>
      </c>
    </row>
    <row r="65543" spans="1:1" x14ac:dyDescent="0.2">
      <c r="A65543" s="97" t="s">
        <v>101</v>
      </c>
    </row>
    <row r="65544" spans="1:1" x14ac:dyDescent="0.2">
      <c r="A65544" s="97" t="s">
        <v>102</v>
      </c>
    </row>
    <row r="65545" spans="1:1" x14ac:dyDescent="0.2">
      <c r="A65545" s="97" t="s">
        <v>103</v>
      </c>
    </row>
    <row r="65546" spans="1:1" x14ac:dyDescent="0.2">
      <c r="A65546" s="97" t="s">
        <v>104</v>
      </c>
    </row>
    <row r="65547" spans="1:1" x14ac:dyDescent="0.2">
      <c r="A65547" s="97" t="s">
        <v>105</v>
      </c>
    </row>
    <row r="65548" spans="1:1" x14ac:dyDescent="0.2">
      <c r="A65548" s="97" t="s">
        <v>106</v>
      </c>
    </row>
    <row r="65549" spans="1:1" x14ac:dyDescent="0.2">
      <c r="A65549" s="97" t="s">
        <v>107</v>
      </c>
    </row>
    <row r="65550" spans="1:1" x14ac:dyDescent="0.2">
      <c r="A65550" s="97" t="s">
        <v>108</v>
      </c>
    </row>
    <row r="65551" spans="1:1" x14ac:dyDescent="0.2">
      <c r="A65551" s="97" t="s">
        <v>109</v>
      </c>
    </row>
    <row r="65552" spans="1:1" x14ac:dyDescent="0.2">
      <c r="A65552" s="97" t="s">
        <v>110</v>
      </c>
    </row>
    <row r="65553" spans="1:1" x14ac:dyDescent="0.2">
      <c r="A65553" s="97" t="s">
        <v>111</v>
      </c>
    </row>
    <row r="65554" spans="1:1" x14ac:dyDescent="0.2">
      <c r="A65554" s="97" t="s">
        <v>112</v>
      </c>
    </row>
    <row r="65555" spans="1:1" x14ac:dyDescent="0.2">
      <c r="A65555" s="97" t="s">
        <v>113</v>
      </c>
    </row>
    <row r="65556" spans="1:1" x14ac:dyDescent="0.2">
      <c r="A65556" s="97" t="s">
        <v>114</v>
      </c>
    </row>
    <row r="65557" spans="1:1" x14ac:dyDescent="0.2">
      <c r="A65557" s="97" t="s">
        <v>115</v>
      </c>
    </row>
    <row r="65558" spans="1:1" x14ac:dyDescent="0.2">
      <c r="A65558" s="97" t="s">
        <v>116</v>
      </c>
    </row>
    <row r="65559" spans="1:1" x14ac:dyDescent="0.2">
      <c r="A65559" s="97" t="s">
        <v>117</v>
      </c>
    </row>
    <row r="65560" spans="1:1" x14ac:dyDescent="0.2">
      <c r="A65560" s="97" t="s">
        <v>118</v>
      </c>
    </row>
    <row r="65561" spans="1:1" x14ac:dyDescent="0.2">
      <c r="A65561" s="97" t="s">
        <v>119</v>
      </c>
    </row>
    <row r="65562" spans="1:1" x14ac:dyDescent="0.2">
      <c r="A65562" s="97" t="s">
        <v>120</v>
      </c>
    </row>
    <row r="65563" spans="1:1" x14ac:dyDescent="0.2">
      <c r="A65563" s="97" t="s">
        <v>121</v>
      </c>
    </row>
    <row r="65564" spans="1:1" x14ac:dyDescent="0.2">
      <c r="A65564" s="97" t="s">
        <v>122</v>
      </c>
    </row>
    <row r="65565" spans="1:1" x14ac:dyDescent="0.2">
      <c r="A65565" s="97" t="s">
        <v>123</v>
      </c>
    </row>
    <row r="65566" spans="1:1" x14ac:dyDescent="0.2">
      <c r="A65566" s="97" t="s">
        <v>124</v>
      </c>
    </row>
    <row r="65567" spans="1:1" x14ac:dyDescent="0.2">
      <c r="A65567" s="97" t="s">
        <v>125</v>
      </c>
    </row>
    <row r="65568" spans="1:1" x14ac:dyDescent="0.2">
      <c r="A65568" s="97" t="s">
        <v>126</v>
      </c>
    </row>
    <row r="65569" spans="1:1" x14ac:dyDescent="0.2">
      <c r="A65569" s="97" t="s">
        <v>127</v>
      </c>
    </row>
    <row r="65570" spans="1:1" x14ac:dyDescent="0.2">
      <c r="A65570" s="97" t="s">
        <v>128</v>
      </c>
    </row>
    <row r="65571" spans="1:1" x14ac:dyDescent="0.2">
      <c r="A65571" s="97" t="s">
        <v>129</v>
      </c>
    </row>
    <row r="65572" spans="1:1" x14ac:dyDescent="0.2">
      <c r="A65572" s="97" t="s">
        <v>130</v>
      </c>
    </row>
    <row r="65573" spans="1:1" x14ac:dyDescent="0.2">
      <c r="A65573" s="97" t="s">
        <v>131</v>
      </c>
    </row>
    <row r="65574" spans="1:1" x14ac:dyDescent="0.2">
      <c r="A65574" s="97" t="s">
        <v>132</v>
      </c>
    </row>
    <row r="65575" spans="1:1" x14ac:dyDescent="0.2">
      <c r="A65575" s="97" t="s">
        <v>133</v>
      </c>
    </row>
    <row r="65576" spans="1:1" x14ac:dyDescent="0.2">
      <c r="A65576" s="97" t="s">
        <v>134</v>
      </c>
    </row>
    <row r="65577" spans="1:1" x14ac:dyDescent="0.2">
      <c r="A65577" s="97" t="s">
        <v>135</v>
      </c>
    </row>
    <row r="65578" spans="1:1" x14ac:dyDescent="0.2">
      <c r="A65578" s="97" t="s">
        <v>136</v>
      </c>
    </row>
    <row r="65579" spans="1:1" x14ac:dyDescent="0.2">
      <c r="A65579" s="97" t="s">
        <v>137</v>
      </c>
    </row>
    <row r="65580" spans="1:1" x14ac:dyDescent="0.2">
      <c r="A65580" s="97" t="s">
        <v>138</v>
      </c>
    </row>
    <row r="65581" spans="1:1" x14ac:dyDescent="0.2">
      <c r="A65581" s="97" t="s">
        <v>139</v>
      </c>
    </row>
    <row r="65582" spans="1:1" x14ac:dyDescent="0.2">
      <c r="A65582" s="97" t="s">
        <v>140</v>
      </c>
    </row>
    <row r="65583" spans="1:1" x14ac:dyDescent="0.2">
      <c r="A65583" s="97" t="s">
        <v>141</v>
      </c>
    </row>
    <row r="65584" spans="1:1" x14ac:dyDescent="0.2">
      <c r="A65584" s="97" t="s">
        <v>142</v>
      </c>
    </row>
    <row r="65585" spans="1:1" x14ac:dyDescent="0.2">
      <c r="A65585" s="97" t="s">
        <v>143</v>
      </c>
    </row>
    <row r="65586" spans="1:1" x14ac:dyDescent="0.2">
      <c r="A65586" s="97" t="s">
        <v>144</v>
      </c>
    </row>
    <row r="65587" spans="1:1" x14ac:dyDescent="0.2">
      <c r="A65587" s="97" t="s">
        <v>145</v>
      </c>
    </row>
    <row r="65588" spans="1:1" x14ac:dyDescent="0.2">
      <c r="A65588" s="97" t="s">
        <v>146</v>
      </c>
    </row>
    <row r="65589" spans="1:1" x14ac:dyDescent="0.2">
      <c r="A65589" s="97" t="s">
        <v>147</v>
      </c>
    </row>
    <row r="65590" spans="1:1" x14ac:dyDescent="0.2">
      <c r="A65590" s="97" t="s">
        <v>148</v>
      </c>
    </row>
    <row r="65591" spans="1:1" x14ac:dyDescent="0.2">
      <c r="A65591" s="97" t="s">
        <v>149</v>
      </c>
    </row>
    <row r="65592" spans="1:1" x14ac:dyDescent="0.2">
      <c r="A65592" s="97" t="s">
        <v>150</v>
      </c>
    </row>
    <row r="65593" spans="1:1" x14ac:dyDescent="0.2">
      <c r="A65593" s="97" t="s">
        <v>151</v>
      </c>
    </row>
    <row r="65594" spans="1:1" x14ac:dyDescent="0.2">
      <c r="A65594" s="97" t="s">
        <v>152</v>
      </c>
    </row>
    <row r="65595" spans="1:1" x14ac:dyDescent="0.2">
      <c r="A65595" s="97" t="s">
        <v>153</v>
      </c>
    </row>
    <row r="65596" spans="1:1" x14ac:dyDescent="0.2">
      <c r="A65596" s="97" t="s">
        <v>154</v>
      </c>
    </row>
    <row r="65597" spans="1:1" x14ac:dyDescent="0.2">
      <c r="A65597" s="97" t="s">
        <v>155</v>
      </c>
    </row>
    <row r="65598" spans="1:1" x14ac:dyDescent="0.2">
      <c r="A65598" s="97" t="s">
        <v>156</v>
      </c>
    </row>
    <row r="65599" spans="1:1" x14ac:dyDescent="0.2">
      <c r="A65599" s="97" t="s">
        <v>157</v>
      </c>
    </row>
    <row r="65600" spans="1:1" x14ac:dyDescent="0.2">
      <c r="A65600" s="97" t="s">
        <v>158</v>
      </c>
    </row>
    <row r="65601" spans="1:1" x14ac:dyDescent="0.2">
      <c r="A65601" s="97" t="s">
        <v>159</v>
      </c>
    </row>
    <row r="65602" spans="1:1" x14ac:dyDescent="0.2">
      <c r="A65602" s="97" t="s">
        <v>160</v>
      </c>
    </row>
    <row r="65603" spans="1:1" x14ac:dyDescent="0.2">
      <c r="A65603" s="97" t="s">
        <v>161</v>
      </c>
    </row>
    <row r="65604" spans="1:1" x14ac:dyDescent="0.2">
      <c r="A65604" s="97" t="s">
        <v>162</v>
      </c>
    </row>
    <row r="65605" spans="1:1" x14ac:dyDescent="0.2">
      <c r="A65605" s="97" t="s">
        <v>163</v>
      </c>
    </row>
    <row r="65606" spans="1:1" x14ac:dyDescent="0.2">
      <c r="A65606" s="97" t="s">
        <v>164</v>
      </c>
    </row>
    <row r="65607" spans="1:1" x14ac:dyDescent="0.2">
      <c r="A65607" s="97" t="s">
        <v>165</v>
      </c>
    </row>
    <row r="65608" spans="1:1" x14ac:dyDescent="0.2">
      <c r="A65608" s="97" t="s">
        <v>166</v>
      </c>
    </row>
    <row r="65609" spans="1:1" x14ac:dyDescent="0.2">
      <c r="A65609" s="97" t="s">
        <v>167</v>
      </c>
    </row>
    <row r="65610" spans="1:1" x14ac:dyDescent="0.2">
      <c r="A65610" s="97" t="s">
        <v>168</v>
      </c>
    </row>
    <row r="65611" spans="1:1" x14ac:dyDescent="0.2">
      <c r="A65611" s="97" t="s">
        <v>169</v>
      </c>
    </row>
    <row r="65612" spans="1:1" x14ac:dyDescent="0.2">
      <c r="A65612" s="97" t="s">
        <v>170</v>
      </c>
    </row>
    <row r="65613" spans="1:1" x14ac:dyDescent="0.2">
      <c r="A65613" s="97" t="s">
        <v>171</v>
      </c>
    </row>
    <row r="65614" spans="1:1" x14ac:dyDescent="0.2">
      <c r="A65614" s="97" t="s">
        <v>172</v>
      </c>
    </row>
    <row r="65615" spans="1:1" x14ac:dyDescent="0.2">
      <c r="A65615" s="97" t="s">
        <v>173</v>
      </c>
    </row>
    <row r="65616" spans="1:1" x14ac:dyDescent="0.2">
      <c r="A65616" s="97" t="s">
        <v>174</v>
      </c>
    </row>
    <row r="65617" spans="1:1" x14ac:dyDescent="0.2">
      <c r="A65617" s="97" t="s">
        <v>175</v>
      </c>
    </row>
    <row r="65618" spans="1:1" x14ac:dyDescent="0.2">
      <c r="A65618" s="97" t="s">
        <v>176</v>
      </c>
    </row>
    <row r="65619" spans="1:1" x14ac:dyDescent="0.2">
      <c r="A65619" s="97" t="s">
        <v>177</v>
      </c>
    </row>
    <row r="65620" spans="1:1" x14ac:dyDescent="0.2">
      <c r="A65620" s="97" t="s">
        <v>178</v>
      </c>
    </row>
    <row r="65621" spans="1:1" x14ac:dyDescent="0.2">
      <c r="A65621" s="97" t="s">
        <v>179</v>
      </c>
    </row>
    <row r="65622" spans="1:1" x14ac:dyDescent="0.2">
      <c r="A65622" s="97" t="s">
        <v>180</v>
      </c>
    </row>
    <row r="65623" spans="1:1" x14ac:dyDescent="0.2">
      <c r="A65623" s="97" t="s">
        <v>181</v>
      </c>
    </row>
    <row r="65624" spans="1:1" x14ac:dyDescent="0.2">
      <c r="A65624" s="97" t="s">
        <v>182</v>
      </c>
    </row>
    <row r="65625" spans="1:1" x14ac:dyDescent="0.2">
      <c r="A65625" s="97" t="s">
        <v>183</v>
      </c>
    </row>
    <row r="81921" spans="1:1" x14ac:dyDescent="0.2">
      <c r="A81921" s="97" t="s">
        <v>95</v>
      </c>
    </row>
    <row r="81922" spans="1:1" x14ac:dyDescent="0.2">
      <c r="A81922" s="97" t="s">
        <v>96</v>
      </c>
    </row>
    <row r="81923" spans="1:1" x14ac:dyDescent="0.2">
      <c r="A81923" s="97" t="s">
        <v>97</v>
      </c>
    </row>
    <row r="81924" spans="1:1" x14ac:dyDescent="0.2">
      <c r="A81924" s="97" t="s">
        <v>98</v>
      </c>
    </row>
    <row r="81925" spans="1:1" x14ac:dyDescent="0.2">
      <c r="A81925" s="97" t="s">
        <v>99</v>
      </c>
    </row>
    <row r="81926" spans="1:1" x14ac:dyDescent="0.2">
      <c r="A81926" s="97" t="s">
        <v>100</v>
      </c>
    </row>
    <row r="81927" spans="1:1" x14ac:dyDescent="0.2">
      <c r="A81927" s="97" t="s">
        <v>101</v>
      </c>
    </row>
    <row r="81928" spans="1:1" x14ac:dyDescent="0.2">
      <c r="A81928" s="97" t="s">
        <v>102</v>
      </c>
    </row>
    <row r="81929" spans="1:1" x14ac:dyDescent="0.2">
      <c r="A81929" s="97" t="s">
        <v>103</v>
      </c>
    </row>
    <row r="81930" spans="1:1" x14ac:dyDescent="0.2">
      <c r="A81930" s="97" t="s">
        <v>104</v>
      </c>
    </row>
    <row r="81931" spans="1:1" x14ac:dyDescent="0.2">
      <c r="A81931" s="97" t="s">
        <v>105</v>
      </c>
    </row>
    <row r="81932" spans="1:1" x14ac:dyDescent="0.2">
      <c r="A81932" s="97" t="s">
        <v>106</v>
      </c>
    </row>
    <row r="81933" spans="1:1" x14ac:dyDescent="0.2">
      <c r="A81933" s="97" t="s">
        <v>107</v>
      </c>
    </row>
    <row r="81934" spans="1:1" x14ac:dyDescent="0.2">
      <c r="A81934" s="97" t="s">
        <v>108</v>
      </c>
    </row>
    <row r="81935" spans="1:1" x14ac:dyDescent="0.2">
      <c r="A81935" s="97" t="s">
        <v>109</v>
      </c>
    </row>
    <row r="81936" spans="1:1" x14ac:dyDescent="0.2">
      <c r="A81936" s="97" t="s">
        <v>110</v>
      </c>
    </row>
    <row r="81937" spans="1:1" x14ac:dyDescent="0.2">
      <c r="A81937" s="97" t="s">
        <v>111</v>
      </c>
    </row>
    <row r="81938" spans="1:1" x14ac:dyDescent="0.2">
      <c r="A81938" s="97" t="s">
        <v>112</v>
      </c>
    </row>
    <row r="81939" spans="1:1" x14ac:dyDescent="0.2">
      <c r="A81939" s="97" t="s">
        <v>113</v>
      </c>
    </row>
    <row r="81940" spans="1:1" x14ac:dyDescent="0.2">
      <c r="A81940" s="97" t="s">
        <v>114</v>
      </c>
    </row>
    <row r="81941" spans="1:1" x14ac:dyDescent="0.2">
      <c r="A81941" s="97" t="s">
        <v>115</v>
      </c>
    </row>
    <row r="81942" spans="1:1" x14ac:dyDescent="0.2">
      <c r="A81942" s="97" t="s">
        <v>116</v>
      </c>
    </row>
    <row r="81943" spans="1:1" x14ac:dyDescent="0.2">
      <c r="A81943" s="97" t="s">
        <v>117</v>
      </c>
    </row>
    <row r="81944" spans="1:1" x14ac:dyDescent="0.2">
      <c r="A81944" s="97" t="s">
        <v>118</v>
      </c>
    </row>
    <row r="81945" spans="1:1" x14ac:dyDescent="0.2">
      <c r="A81945" s="97" t="s">
        <v>119</v>
      </c>
    </row>
    <row r="81946" spans="1:1" x14ac:dyDescent="0.2">
      <c r="A81946" s="97" t="s">
        <v>120</v>
      </c>
    </row>
    <row r="81947" spans="1:1" x14ac:dyDescent="0.2">
      <c r="A81947" s="97" t="s">
        <v>121</v>
      </c>
    </row>
    <row r="81948" spans="1:1" x14ac:dyDescent="0.2">
      <c r="A81948" s="97" t="s">
        <v>122</v>
      </c>
    </row>
    <row r="81949" spans="1:1" x14ac:dyDescent="0.2">
      <c r="A81949" s="97" t="s">
        <v>123</v>
      </c>
    </row>
    <row r="81950" spans="1:1" x14ac:dyDescent="0.2">
      <c r="A81950" s="97" t="s">
        <v>124</v>
      </c>
    </row>
    <row r="81951" spans="1:1" x14ac:dyDescent="0.2">
      <c r="A81951" s="97" t="s">
        <v>125</v>
      </c>
    </row>
    <row r="81952" spans="1:1" x14ac:dyDescent="0.2">
      <c r="A81952" s="97" t="s">
        <v>126</v>
      </c>
    </row>
    <row r="81953" spans="1:1" x14ac:dyDescent="0.2">
      <c r="A81953" s="97" t="s">
        <v>127</v>
      </c>
    </row>
    <row r="81954" spans="1:1" x14ac:dyDescent="0.2">
      <c r="A81954" s="97" t="s">
        <v>128</v>
      </c>
    </row>
    <row r="81955" spans="1:1" x14ac:dyDescent="0.2">
      <c r="A81955" s="97" t="s">
        <v>129</v>
      </c>
    </row>
    <row r="81956" spans="1:1" x14ac:dyDescent="0.2">
      <c r="A81956" s="97" t="s">
        <v>130</v>
      </c>
    </row>
    <row r="81957" spans="1:1" x14ac:dyDescent="0.2">
      <c r="A81957" s="97" t="s">
        <v>131</v>
      </c>
    </row>
    <row r="81958" spans="1:1" x14ac:dyDescent="0.2">
      <c r="A81958" s="97" t="s">
        <v>132</v>
      </c>
    </row>
    <row r="81959" spans="1:1" x14ac:dyDescent="0.2">
      <c r="A81959" s="97" t="s">
        <v>133</v>
      </c>
    </row>
    <row r="81960" spans="1:1" x14ac:dyDescent="0.2">
      <c r="A81960" s="97" t="s">
        <v>134</v>
      </c>
    </row>
    <row r="81961" spans="1:1" x14ac:dyDescent="0.2">
      <c r="A81961" s="97" t="s">
        <v>135</v>
      </c>
    </row>
    <row r="81962" spans="1:1" x14ac:dyDescent="0.2">
      <c r="A81962" s="97" t="s">
        <v>136</v>
      </c>
    </row>
    <row r="81963" spans="1:1" x14ac:dyDescent="0.2">
      <c r="A81963" s="97" t="s">
        <v>137</v>
      </c>
    </row>
    <row r="81964" spans="1:1" x14ac:dyDescent="0.2">
      <c r="A81964" s="97" t="s">
        <v>138</v>
      </c>
    </row>
    <row r="81965" spans="1:1" x14ac:dyDescent="0.2">
      <c r="A81965" s="97" t="s">
        <v>139</v>
      </c>
    </row>
    <row r="81966" spans="1:1" x14ac:dyDescent="0.2">
      <c r="A81966" s="97" t="s">
        <v>140</v>
      </c>
    </row>
    <row r="81967" spans="1:1" x14ac:dyDescent="0.2">
      <c r="A81967" s="97" t="s">
        <v>141</v>
      </c>
    </row>
    <row r="81968" spans="1:1" x14ac:dyDescent="0.2">
      <c r="A81968" s="97" t="s">
        <v>142</v>
      </c>
    </row>
    <row r="81969" spans="1:1" x14ac:dyDescent="0.2">
      <c r="A81969" s="97" t="s">
        <v>143</v>
      </c>
    </row>
    <row r="81970" spans="1:1" x14ac:dyDescent="0.2">
      <c r="A81970" s="97" t="s">
        <v>144</v>
      </c>
    </row>
    <row r="81971" spans="1:1" x14ac:dyDescent="0.2">
      <c r="A81971" s="97" t="s">
        <v>145</v>
      </c>
    </row>
    <row r="81972" spans="1:1" x14ac:dyDescent="0.2">
      <c r="A81972" s="97" t="s">
        <v>146</v>
      </c>
    </row>
    <row r="81973" spans="1:1" x14ac:dyDescent="0.2">
      <c r="A81973" s="97" t="s">
        <v>147</v>
      </c>
    </row>
    <row r="81974" spans="1:1" x14ac:dyDescent="0.2">
      <c r="A81974" s="97" t="s">
        <v>148</v>
      </c>
    </row>
    <row r="81975" spans="1:1" x14ac:dyDescent="0.2">
      <c r="A81975" s="97" t="s">
        <v>149</v>
      </c>
    </row>
    <row r="81976" spans="1:1" x14ac:dyDescent="0.2">
      <c r="A81976" s="97" t="s">
        <v>150</v>
      </c>
    </row>
    <row r="81977" spans="1:1" x14ac:dyDescent="0.2">
      <c r="A81977" s="97" t="s">
        <v>151</v>
      </c>
    </row>
    <row r="81978" spans="1:1" x14ac:dyDescent="0.2">
      <c r="A81978" s="97" t="s">
        <v>152</v>
      </c>
    </row>
    <row r="81979" spans="1:1" x14ac:dyDescent="0.2">
      <c r="A81979" s="97" t="s">
        <v>153</v>
      </c>
    </row>
    <row r="81980" spans="1:1" x14ac:dyDescent="0.2">
      <c r="A81980" s="97" t="s">
        <v>154</v>
      </c>
    </row>
    <row r="81981" spans="1:1" x14ac:dyDescent="0.2">
      <c r="A81981" s="97" t="s">
        <v>155</v>
      </c>
    </row>
    <row r="81982" spans="1:1" x14ac:dyDescent="0.2">
      <c r="A81982" s="97" t="s">
        <v>156</v>
      </c>
    </row>
    <row r="81983" spans="1:1" x14ac:dyDescent="0.2">
      <c r="A81983" s="97" t="s">
        <v>157</v>
      </c>
    </row>
    <row r="81984" spans="1:1" x14ac:dyDescent="0.2">
      <c r="A81984" s="97" t="s">
        <v>158</v>
      </c>
    </row>
    <row r="81985" spans="1:1" x14ac:dyDescent="0.2">
      <c r="A81985" s="97" t="s">
        <v>159</v>
      </c>
    </row>
    <row r="81986" spans="1:1" x14ac:dyDescent="0.2">
      <c r="A81986" s="97" t="s">
        <v>160</v>
      </c>
    </row>
    <row r="81987" spans="1:1" x14ac:dyDescent="0.2">
      <c r="A81987" s="97" t="s">
        <v>161</v>
      </c>
    </row>
    <row r="81988" spans="1:1" x14ac:dyDescent="0.2">
      <c r="A81988" s="97" t="s">
        <v>162</v>
      </c>
    </row>
    <row r="81989" spans="1:1" x14ac:dyDescent="0.2">
      <c r="A81989" s="97" t="s">
        <v>163</v>
      </c>
    </row>
    <row r="81990" spans="1:1" x14ac:dyDescent="0.2">
      <c r="A81990" s="97" t="s">
        <v>164</v>
      </c>
    </row>
    <row r="81991" spans="1:1" x14ac:dyDescent="0.2">
      <c r="A81991" s="97" t="s">
        <v>165</v>
      </c>
    </row>
    <row r="81992" spans="1:1" x14ac:dyDescent="0.2">
      <c r="A81992" s="97" t="s">
        <v>166</v>
      </c>
    </row>
    <row r="81993" spans="1:1" x14ac:dyDescent="0.2">
      <c r="A81993" s="97" t="s">
        <v>167</v>
      </c>
    </row>
    <row r="81994" spans="1:1" x14ac:dyDescent="0.2">
      <c r="A81994" s="97" t="s">
        <v>168</v>
      </c>
    </row>
    <row r="81995" spans="1:1" x14ac:dyDescent="0.2">
      <c r="A81995" s="97" t="s">
        <v>169</v>
      </c>
    </row>
    <row r="81996" spans="1:1" x14ac:dyDescent="0.2">
      <c r="A81996" s="97" t="s">
        <v>170</v>
      </c>
    </row>
    <row r="81997" spans="1:1" x14ac:dyDescent="0.2">
      <c r="A81997" s="97" t="s">
        <v>171</v>
      </c>
    </row>
    <row r="81998" spans="1:1" x14ac:dyDescent="0.2">
      <c r="A81998" s="97" t="s">
        <v>172</v>
      </c>
    </row>
    <row r="81999" spans="1:1" x14ac:dyDescent="0.2">
      <c r="A81999" s="97" t="s">
        <v>173</v>
      </c>
    </row>
    <row r="82000" spans="1:1" x14ac:dyDescent="0.2">
      <c r="A82000" s="97" t="s">
        <v>174</v>
      </c>
    </row>
    <row r="82001" spans="1:1" x14ac:dyDescent="0.2">
      <c r="A82001" s="97" t="s">
        <v>175</v>
      </c>
    </row>
    <row r="82002" spans="1:1" x14ac:dyDescent="0.2">
      <c r="A82002" s="97" t="s">
        <v>176</v>
      </c>
    </row>
    <row r="82003" spans="1:1" x14ac:dyDescent="0.2">
      <c r="A82003" s="97" t="s">
        <v>177</v>
      </c>
    </row>
    <row r="82004" spans="1:1" x14ac:dyDescent="0.2">
      <c r="A82004" s="97" t="s">
        <v>178</v>
      </c>
    </row>
    <row r="82005" spans="1:1" x14ac:dyDescent="0.2">
      <c r="A82005" s="97" t="s">
        <v>179</v>
      </c>
    </row>
    <row r="82006" spans="1:1" x14ac:dyDescent="0.2">
      <c r="A82006" s="97" t="s">
        <v>180</v>
      </c>
    </row>
    <row r="82007" spans="1:1" x14ac:dyDescent="0.2">
      <c r="A82007" s="97" t="s">
        <v>181</v>
      </c>
    </row>
    <row r="82008" spans="1:1" x14ac:dyDescent="0.2">
      <c r="A82008" s="97" t="s">
        <v>182</v>
      </c>
    </row>
    <row r="82009" spans="1:1" x14ac:dyDescent="0.2">
      <c r="A82009" s="97" t="s">
        <v>183</v>
      </c>
    </row>
    <row r="98305" spans="1:1" x14ac:dyDescent="0.2">
      <c r="A98305" s="97" t="s">
        <v>95</v>
      </c>
    </row>
    <row r="98306" spans="1:1" x14ac:dyDescent="0.2">
      <c r="A98306" s="97" t="s">
        <v>96</v>
      </c>
    </row>
    <row r="98307" spans="1:1" x14ac:dyDescent="0.2">
      <c r="A98307" s="97" t="s">
        <v>97</v>
      </c>
    </row>
    <row r="98308" spans="1:1" x14ac:dyDescent="0.2">
      <c r="A98308" s="97" t="s">
        <v>98</v>
      </c>
    </row>
    <row r="98309" spans="1:1" x14ac:dyDescent="0.2">
      <c r="A98309" s="97" t="s">
        <v>99</v>
      </c>
    </row>
    <row r="98310" spans="1:1" x14ac:dyDescent="0.2">
      <c r="A98310" s="97" t="s">
        <v>100</v>
      </c>
    </row>
    <row r="98311" spans="1:1" x14ac:dyDescent="0.2">
      <c r="A98311" s="97" t="s">
        <v>101</v>
      </c>
    </row>
    <row r="98312" spans="1:1" x14ac:dyDescent="0.2">
      <c r="A98312" s="97" t="s">
        <v>102</v>
      </c>
    </row>
    <row r="98313" spans="1:1" x14ac:dyDescent="0.2">
      <c r="A98313" s="97" t="s">
        <v>103</v>
      </c>
    </row>
    <row r="98314" spans="1:1" x14ac:dyDescent="0.2">
      <c r="A98314" s="97" t="s">
        <v>104</v>
      </c>
    </row>
    <row r="98315" spans="1:1" x14ac:dyDescent="0.2">
      <c r="A98315" s="97" t="s">
        <v>105</v>
      </c>
    </row>
    <row r="98316" spans="1:1" x14ac:dyDescent="0.2">
      <c r="A98316" s="97" t="s">
        <v>106</v>
      </c>
    </row>
    <row r="98317" spans="1:1" x14ac:dyDescent="0.2">
      <c r="A98317" s="97" t="s">
        <v>107</v>
      </c>
    </row>
    <row r="98318" spans="1:1" x14ac:dyDescent="0.2">
      <c r="A98318" s="97" t="s">
        <v>108</v>
      </c>
    </row>
    <row r="98319" spans="1:1" x14ac:dyDescent="0.2">
      <c r="A98319" s="97" t="s">
        <v>109</v>
      </c>
    </row>
    <row r="98320" spans="1:1" x14ac:dyDescent="0.2">
      <c r="A98320" s="97" t="s">
        <v>110</v>
      </c>
    </row>
    <row r="98321" spans="1:1" x14ac:dyDescent="0.2">
      <c r="A98321" s="97" t="s">
        <v>111</v>
      </c>
    </row>
    <row r="98322" spans="1:1" x14ac:dyDescent="0.2">
      <c r="A98322" s="97" t="s">
        <v>112</v>
      </c>
    </row>
    <row r="98323" spans="1:1" x14ac:dyDescent="0.2">
      <c r="A98323" s="97" t="s">
        <v>113</v>
      </c>
    </row>
    <row r="98324" spans="1:1" x14ac:dyDescent="0.2">
      <c r="A98324" s="97" t="s">
        <v>114</v>
      </c>
    </row>
    <row r="98325" spans="1:1" x14ac:dyDescent="0.2">
      <c r="A98325" s="97" t="s">
        <v>115</v>
      </c>
    </row>
    <row r="98326" spans="1:1" x14ac:dyDescent="0.2">
      <c r="A98326" s="97" t="s">
        <v>116</v>
      </c>
    </row>
    <row r="98327" spans="1:1" x14ac:dyDescent="0.2">
      <c r="A98327" s="97" t="s">
        <v>117</v>
      </c>
    </row>
    <row r="98328" spans="1:1" x14ac:dyDescent="0.2">
      <c r="A98328" s="97" t="s">
        <v>118</v>
      </c>
    </row>
    <row r="98329" spans="1:1" x14ac:dyDescent="0.2">
      <c r="A98329" s="97" t="s">
        <v>119</v>
      </c>
    </row>
    <row r="98330" spans="1:1" x14ac:dyDescent="0.2">
      <c r="A98330" s="97" t="s">
        <v>120</v>
      </c>
    </row>
    <row r="98331" spans="1:1" x14ac:dyDescent="0.2">
      <c r="A98331" s="97" t="s">
        <v>121</v>
      </c>
    </row>
    <row r="98332" spans="1:1" x14ac:dyDescent="0.2">
      <c r="A98332" s="97" t="s">
        <v>122</v>
      </c>
    </row>
    <row r="98333" spans="1:1" x14ac:dyDescent="0.2">
      <c r="A98333" s="97" t="s">
        <v>123</v>
      </c>
    </row>
    <row r="98334" spans="1:1" x14ac:dyDescent="0.2">
      <c r="A98334" s="97" t="s">
        <v>124</v>
      </c>
    </row>
    <row r="98335" spans="1:1" x14ac:dyDescent="0.2">
      <c r="A98335" s="97" t="s">
        <v>125</v>
      </c>
    </row>
    <row r="98336" spans="1:1" x14ac:dyDescent="0.2">
      <c r="A98336" s="97" t="s">
        <v>126</v>
      </c>
    </row>
    <row r="98337" spans="1:1" x14ac:dyDescent="0.2">
      <c r="A98337" s="97" t="s">
        <v>127</v>
      </c>
    </row>
    <row r="98338" spans="1:1" x14ac:dyDescent="0.2">
      <c r="A98338" s="97" t="s">
        <v>128</v>
      </c>
    </row>
    <row r="98339" spans="1:1" x14ac:dyDescent="0.2">
      <c r="A98339" s="97" t="s">
        <v>129</v>
      </c>
    </row>
    <row r="98340" spans="1:1" x14ac:dyDescent="0.2">
      <c r="A98340" s="97" t="s">
        <v>130</v>
      </c>
    </row>
    <row r="98341" spans="1:1" x14ac:dyDescent="0.2">
      <c r="A98341" s="97" t="s">
        <v>131</v>
      </c>
    </row>
    <row r="98342" spans="1:1" x14ac:dyDescent="0.2">
      <c r="A98342" s="97" t="s">
        <v>132</v>
      </c>
    </row>
    <row r="98343" spans="1:1" x14ac:dyDescent="0.2">
      <c r="A98343" s="97" t="s">
        <v>133</v>
      </c>
    </row>
    <row r="98344" spans="1:1" x14ac:dyDescent="0.2">
      <c r="A98344" s="97" t="s">
        <v>134</v>
      </c>
    </row>
    <row r="98345" spans="1:1" x14ac:dyDescent="0.2">
      <c r="A98345" s="97" t="s">
        <v>135</v>
      </c>
    </row>
    <row r="98346" spans="1:1" x14ac:dyDescent="0.2">
      <c r="A98346" s="97" t="s">
        <v>136</v>
      </c>
    </row>
    <row r="98347" spans="1:1" x14ac:dyDescent="0.2">
      <c r="A98347" s="97" t="s">
        <v>137</v>
      </c>
    </row>
    <row r="98348" spans="1:1" x14ac:dyDescent="0.2">
      <c r="A98348" s="97" t="s">
        <v>138</v>
      </c>
    </row>
    <row r="98349" spans="1:1" x14ac:dyDescent="0.2">
      <c r="A98349" s="97" t="s">
        <v>139</v>
      </c>
    </row>
    <row r="98350" spans="1:1" x14ac:dyDescent="0.2">
      <c r="A98350" s="97" t="s">
        <v>140</v>
      </c>
    </row>
    <row r="98351" spans="1:1" x14ac:dyDescent="0.2">
      <c r="A98351" s="97" t="s">
        <v>141</v>
      </c>
    </row>
    <row r="98352" spans="1:1" x14ac:dyDescent="0.2">
      <c r="A98352" s="97" t="s">
        <v>142</v>
      </c>
    </row>
    <row r="98353" spans="1:1" x14ac:dyDescent="0.2">
      <c r="A98353" s="97" t="s">
        <v>143</v>
      </c>
    </row>
    <row r="98354" spans="1:1" x14ac:dyDescent="0.2">
      <c r="A98354" s="97" t="s">
        <v>144</v>
      </c>
    </row>
    <row r="98355" spans="1:1" x14ac:dyDescent="0.2">
      <c r="A98355" s="97" t="s">
        <v>145</v>
      </c>
    </row>
    <row r="98356" spans="1:1" x14ac:dyDescent="0.2">
      <c r="A98356" s="97" t="s">
        <v>146</v>
      </c>
    </row>
    <row r="98357" spans="1:1" x14ac:dyDescent="0.2">
      <c r="A98357" s="97" t="s">
        <v>147</v>
      </c>
    </row>
    <row r="98358" spans="1:1" x14ac:dyDescent="0.2">
      <c r="A98358" s="97" t="s">
        <v>148</v>
      </c>
    </row>
    <row r="98359" spans="1:1" x14ac:dyDescent="0.2">
      <c r="A98359" s="97" t="s">
        <v>149</v>
      </c>
    </row>
    <row r="98360" spans="1:1" x14ac:dyDescent="0.2">
      <c r="A98360" s="97" t="s">
        <v>150</v>
      </c>
    </row>
    <row r="98361" spans="1:1" x14ac:dyDescent="0.2">
      <c r="A98361" s="97" t="s">
        <v>151</v>
      </c>
    </row>
    <row r="98362" spans="1:1" x14ac:dyDescent="0.2">
      <c r="A98362" s="97" t="s">
        <v>152</v>
      </c>
    </row>
    <row r="98363" spans="1:1" x14ac:dyDescent="0.2">
      <c r="A98363" s="97" t="s">
        <v>153</v>
      </c>
    </row>
    <row r="98364" spans="1:1" x14ac:dyDescent="0.2">
      <c r="A98364" s="97" t="s">
        <v>154</v>
      </c>
    </row>
    <row r="98365" spans="1:1" x14ac:dyDescent="0.2">
      <c r="A98365" s="97" t="s">
        <v>155</v>
      </c>
    </row>
    <row r="98366" spans="1:1" x14ac:dyDescent="0.2">
      <c r="A98366" s="97" t="s">
        <v>156</v>
      </c>
    </row>
    <row r="98367" spans="1:1" x14ac:dyDescent="0.2">
      <c r="A98367" s="97" t="s">
        <v>157</v>
      </c>
    </row>
    <row r="98368" spans="1:1" x14ac:dyDescent="0.2">
      <c r="A98368" s="97" t="s">
        <v>158</v>
      </c>
    </row>
    <row r="98369" spans="1:1" x14ac:dyDescent="0.2">
      <c r="A98369" s="97" t="s">
        <v>159</v>
      </c>
    </row>
    <row r="98370" spans="1:1" x14ac:dyDescent="0.2">
      <c r="A98370" s="97" t="s">
        <v>160</v>
      </c>
    </row>
    <row r="98371" spans="1:1" x14ac:dyDescent="0.2">
      <c r="A98371" s="97" t="s">
        <v>161</v>
      </c>
    </row>
    <row r="98372" spans="1:1" x14ac:dyDescent="0.2">
      <c r="A98372" s="97" t="s">
        <v>162</v>
      </c>
    </row>
    <row r="98373" spans="1:1" x14ac:dyDescent="0.2">
      <c r="A98373" s="97" t="s">
        <v>163</v>
      </c>
    </row>
    <row r="98374" spans="1:1" x14ac:dyDescent="0.2">
      <c r="A98374" s="97" t="s">
        <v>164</v>
      </c>
    </row>
    <row r="98375" spans="1:1" x14ac:dyDescent="0.2">
      <c r="A98375" s="97" t="s">
        <v>165</v>
      </c>
    </row>
    <row r="98376" spans="1:1" x14ac:dyDescent="0.2">
      <c r="A98376" s="97" t="s">
        <v>166</v>
      </c>
    </row>
    <row r="98377" spans="1:1" x14ac:dyDescent="0.2">
      <c r="A98377" s="97" t="s">
        <v>167</v>
      </c>
    </row>
    <row r="98378" spans="1:1" x14ac:dyDescent="0.2">
      <c r="A98378" s="97" t="s">
        <v>168</v>
      </c>
    </row>
    <row r="98379" spans="1:1" x14ac:dyDescent="0.2">
      <c r="A98379" s="97" t="s">
        <v>169</v>
      </c>
    </row>
    <row r="98380" spans="1:1" x14ac:dyDescent="0.2">
      <c r="A98380" s="97" t="s">
        <v>170</v>
      </c>
    </row>
    <row r="98381" spans="1:1" x14ac:dyDescent="0.2">
      <c r="A98381" s="97" t="s">
        <v>171</v>
      </c>
    </row>
    <row r="98382" spans="1:1" x14ac:dyDescent="0.2">
      <c r="A98382" s="97" t="s">
        <v>172</v>
      </c>
    </row>
    <row r="98383" spans="1:1" x14ac:dyDescent="0.2">
      <c r="A98383" s="97" t="s">
        <v>173</v>
      </c>
    </row>
    <row r="98384" spans="1:1" x14ac:dyDescent="0.2">
      <c r="A98384" s="97" t="s">
        <v>174</v>
      </c>
    </row>
    <row r="98385" spans="1:1" x14ac:dyDescent="0.2">
      <c r="A98385" s="97" t="s">
        <v>175</v>
      </c>
    </row>
    <row r="98386" spans="1:1" x14ac:dyDescent="0.2">
      <c r="A98386" s="97" t="s">
        <v>176</v>
      </c>
    </row>
    <row r="98387" spans="1:1" x14ac:dyDescent="0.2">
      <c r="A98387" s="97" t="s">
        <v>177</v>
      </c>
    </row>
    <row r="98388" spans="1:1" x14ac:dyDescent="0.2">
      <c r="A98388" s="97" t="s">
        <v>178</v>
      </c>
    </row>
    <row r="98389" spans="1:1" x14ac:dyDescent="0.2">
      <c r="A98389" s="97" t="s">
        <v>179</v>
      </c>
    </row>
    <row r="98390" spans="1:1" x14ac:dyDescent="0.2">
      <c r="A98390" s="97" t="s">
        <v>180</v>
      </c>
    </row>
    <row r="98391" spans="1:1" x14ac:dyDescent="0.2">
      <c r="A98391" s="97" t="s">
        <v>181</v>
      </c>
    </row>
    <row r="98392" spans="1:1" x14ac:dyDescent="0.2">
      <c r="A98392" s="97" t="s">
        <v>182</v>
      </c>
    </row>
    <row r="98393" spans="1:1" x14ac:dyDescent="0.2">
      <c r="A98393" s="97" t="s">
        <v>183</v>
      </c>
    </row>
    <row r="114689" spans="1:1" x14ac:dyDescent="0.2">
      <c r="A114689" s="97" t="s">
        <v>95</v>
      </c>
    </row>
    <row r="114690" spans="1:1" x14ac:dyDescent="0.2">
      <c r="A114690" s="97" t="s">
        <v>96</v>
      </c>
    </row>
    <row r="114691" spans="1:1" x14ac:dyDescent="0.2">
      <c r="A114691" s="97" t="s">
        <v>97</v>
      </c>
    </row>
    <row r="114692" spans="1:1" x14ac:dyDescent="0.2">
      <c r="A114692" s="97" t="s">
        <v>98</v>
      </c>
    </row>
    <row r="114693" spans="1:1" x14ac:dyDescent="0.2">
      <c r="A114693" s="97" t="s">
        <v>99</v>
      </c>
    </row>
    <row r="114694" spans="1:1" x14ac:dyDescent="0.2">
      <c r="A114694" s="97" t="s">
        <v>100</v>
      </c>
    </row>
    <row r="114695" spans="1:1" x14ac:dyDescent="0.2">
      <c r="A114695" s="97" t="s">
        <v>101</v>
      </c>
    </row>
    <row r="114696" spans="1:1" x14ac:dyDescent="0.2">
      <c r="A114696" s="97" t="s">
        <v>102</v>
      </c>
    </row>
    <row r="114697" spans="1:1" x14ac:dyDescent="0.2">
      <c r="A114697" s="97" t="s">
        <v>103</v>
      </c>
    </row>
    <row r="114698" spans="1:1" x14ac:dyDescent="0.2">
      <c r="A114698" s="97" t="s">
        <v>104</v>
      </c>
    </row>
    <row r="114699" spans="1:1" x14ac:dyDescent="0.2">
      <c r="A114699" s="97" t="s">
        <v>105</v>
      </c>
    </row>
    <row r="114700" spans="1:1" x14ac:dyDescent="0.2">
      <c r="A114700" s="97" t="s">
        <v>106</v>
      </c>
    </row>
    <row r="114701" spans="1:1" x14ac:dyDescent="0.2">
      <c r="A114701" s="97" t="s">
        <v>107</v>
      </c>
    </row>
    <row r="114702" spans="1:1" x14ac:dyDescent="0.2">
      <c r="A114702" s="97" t="s">
        <v>108</v>
      </c>
    </row>
    <row r="114703" spans="1:1" x14ac:dyDescent="0.2">
      <c r="A114703" s="97" t="s">
        <v>109</v>
      </c>
    </row>
    <row r="114704" spans="1:1" x14ac:dyDescent="0.2">
      <c r="A114704" s="97" t="s">
        <v>110</v>
      </c>
    </row>
    <row r="114705" spans="1:1" x14ac:dyDescent="0.2">
      <c r="A114705" s="97" t="s">
        <v>111</v>
      </c>
    </row>
    <row r="114706" spans="1:1" x14ac:dyDescent="0.2">
      <c r="A114706" s="97" t="s">
        <v>112</v>
      </c>
    </row>
    <row r="114707" spans="1:1" x14ac:dyDescent="0.2">
      <c r="A114707" s="97" t="s">
        <v>113</v>
      </c>
    </row>
    <row r="114708" spans="1:1" x14ac:dyDescent="0.2">
      <c r="A114708" s="97" t="s">
        <v>114</v>
      </c>
    </row>
    <row r="114709" spans="1:1" x14ac:dyDescent="0.2">
      <c r="A114709" s="97" t="s">
        <v>115</v>
      </c>
    </row>
    <row r="114710" spans="1:1" x14ac:dyDescent="0.2">
      <c r="A114710" s="97" t="s">
        <v>116</v>
      </c>
    </row>
    <row r="114711" spans="1:1" x14ac:dyDescent="0.2">
      <c r="A114711" s="97" t="s">
        <v>117</v>
      </c>
    </row>
    <row r="114712" spans="1:1" x14ac:dyDescent="0.2">
      <c r="A114712" s="97" t="s">
        <v>118</v>
      </c>
    </row>
    <row r="114713" spans="1:1" x14ac:dyDescent="0.2">
      <c r="A114713" s="97" t="s">
        <v>119</v>
      </c>
    </row>
    <row r="114714" spans="1:1" x14ac:dyDescent="0.2">
      <c r="A114714" s="97" t="s">
        <v>120</v>
      </c>
    </row>
    <row r="114715" spans="1:1" x14ac:dyDescent="0.2">
      <c r="A114715" s="97" t="s">
        <v>121</v>
      </c>
    </row>
    <row r="114716" spans="1:1" x14ac:dyDescent="0.2">
      <c r="A114716" s="97" t="s">
        <v>122</v>
      </c>
    </row>
    <row r="114717" spans="1:1" x14ac:dyDescent="0.2">
      <c r="A114717" s="97" t="s">
        <v>123</v>
      </c>
    </row>
    <row r="114718" spans="1:1" x14ac:dyDescent="0.2">
      <c r="A114718" s="97" t="s">
        <v>124</v>
      </c>
    </row>
    <row r="114719" spans="1:1" x14ac:dyDescent="0.2">
      <c r="A114719" s="97" t="s">
        <v>125</v>
      </c>
    </row>
    <row r="114720" spans="1:1" x14ac:dyDescent="0.2">
      <c r="A114720" s="97" t="s">
        <v>126</v>
      </c>
    </row>
    <row r="114721" spans="1:1" x14ac:dyDescent="0.2">
      <c r="A114721" s="97" t="s">
        <v>127</v>
      </c>
    </row>
    <row r="114722" spans="1:1" x14ac:dyDescent="0.2">
      <c r="A114722" s="97" t="s">
        <v>128</v>
      </c>
    </row>
    <row r="114723" spans="1:1" x14ac:dyDescent="0.2">
      <c r="A114723" s="97" t="s">
        <v>129</v>
      </c>
    </row>
    <row r="114724" spans="1:1" x14ac:dyDescent="0.2">
      <c r="A114724" s="97" t="s">
        <v>130</v>
      </c>
    </row>
    <row r="114725" spans="1:1" x14ac:dyDescent="0.2">
      <c r="A114725" s="97" t="s">
        <v>131</v>
      </c>
    </row>
    <row r="114726" spans="1:1" x14ac:dyDescent="0.2">
      <c r="A114726" s="97" t="s">
        <v>132</v>
      </c>
    </row>
    <row r="114727" spans="1:1" x14ac:dyDescent="0.2">
      <c r="A114727" s="97" t="s">
        <v>133</v>
      </c>
    </row>
    <row r="114728" spans="1:1" x14ac:dyDescent="0.2">
      <c r="A114728" s="97" t="s">
        <v>134</v>
      </c>
    </row>
    <row r="114729" spans="1:1" x14ac:dyDescent="0.2">
      <c r="A114729" s="97" t="s">
        <v>135</v>
      </c>
    </row>
    <row r="114730" spans="1:1" x14ac:dyDescent="0.2">
      <c r="A114730" s="97" t="s">
        <v>136</v>
      </c>
    </row>
    <row r="114731" spans="1:1" x14ac:dyDescent="0.2">
      <c r="A114731" s="97" t="s">
        <v>137</v>
      </c>
    </row>
    <row r="114732" spans="1:1" x14ac:dyDescent="0.2">
      <c r="A114732" s="97" t="s">
        <v>138</v>
      </c>
    </row>
    <row r="114733" spans="1:1" x14ac:dyDescent="0.2">
      <c r="A114733" s="97" t="s">
        <v>139</v>
      </c>
    </row>
    <row r="114734" spans="1:1" x14ac:dyDescent="0.2">
      <c r="A114734" s="97" t="s">
        <v>140</v>
      </c>
    </row>
    <row r="114735" spans="1:1" x14ac:dyDescent="0.2">
      <c r="A114735" s="97" t="s">
        <v>141</v>
      </c>
    </row>
    <row r="114736" spans="1:1" x14ac:dyDescent="0.2">
      <c r="A114736" s="97" t="s">
        <v>142</v>
      </c>
    </row>
    <row r="114737" spans="1:1" x14ac:dyDescent="0.2">
      <c r="A114737" s="97" t="s">
        <v>143</v>
      </c>
    </row>
    <row r="114738" spans="1:1" x14ac:dyDescent="0.2">
      <c r="A114738" s="97" t="s">
        <v>144</v>
      </c>
    </row>
    <row r="114739" spans="1:1" x14ac:dyDescent="0.2">
      <c r="A114739" s="97" t="s">
        <v>145</v>
      </c>
    </row>
    <row r="114740" spans="1:1" x14ac:dyDescent="0.2">
      <c r="A114740" s="97" t="s">
        <v>146</v>
      </c>
    </row>
    <row r="114741" spans="1:1" x14ac:dyDescent="0.2">
      <c r="A114741" s="97" t="s">
        <v>147</v>
      </c>
    </row>
    <row r="114742" spans="1:1" x14ac:dyDescent="0.2">
      <c r="A114742" s="97" t="s">
        <v>148</v>
      </c>
    </row>
    <row r="114743" spans="1:1" x14ac:dyDescent="0.2">
      <c r="A114743" s="97" t="s">
        <v>149</v>
      </c>
    </row>
    <row r="114744" spans="1:1" x14ac:dyDescent="0.2">
      <c r="A114744" s="97" t="s">
        <v>150</v>
      </c>
    </row>
    <row r="114745" spans="1:1" x14ac:dyDescent="0.2">
      <c r="A114745" s="97" t="s">
        <v>151</v>
      </c>
    </row>
    <row r="114746" spans="1:1" x14ac:dyDescent="0.2">
      <c r="A114746" s="97" t="s">
        <v>152</v>
      </c>
    </row>
    <row r="114747" spans="1:1" x14ac:dyDescent="0.2">
      <c r="A114747" s="97" t="s">
        <v>153</v>
      </c>
    </row>
    <row r="114748" spans="1:1" x14ac:dyDescent="0.2">
      <c r="A114748" s="97" t="s">
        <v>154</v>
      </c>
    </row>
    <row r="114749" spans="1:1" x14ac:dyDescent="0.2">
      <c r="A114749" s="97" t="s">
        <v>155</v>
      </c>
    </row>
    <row r="114750" spans="1:1" x14ac:dyDescent="0.2">
      <c r="A114750" s="97" t="s">
        <v>156</v>
      </c>
    </row>
    <row r="114751" spans="1:1" x14ac:dyDescent="0.2">
      <c r="A114751" s="97" t="s">
        <v>157</v>
      </c>
    </row>
    <row r="114752" spans="1:1" x14ac:dyDescent="0.2">
      <c r="A114752" s="97" t="s">
        <v>158</v>
      </c>
    </row>
    <row r="114753" spans="1:1" x14ac:dyDescent="0.2">
      <c r="A114753" s="97" t="s">
        <v>159</v>
      </c>
    </row>
    <row r="114754" spans="1:1" x14ac:dyDescent="0.2">
      <c r="A114754" s="97" t="s">
        <v>160</v>
      </c>
    </row>
    <row r="114755" spans="1:1" x14ac:dyDescent="0.2">
      <c r="A114755" s="97" t="s">
        <v>161</v>
      </c>
    </row>
    <row r="114756" spans="1:1" x14ac:dyDescent="0.2">
      <c r="A114756" s="97" t="s">
        <v>162</v>
      </c>
    </row>
    <row r="114757" spans="1:1" x14ac:dyDescent="0.2">
      <c r="A114757" s="97" t="s">
        <v>163</v>
      </c>
    </row>
    <row r="114758" spans="1:1" x14ac:dyDescent="0.2">
      <c r="A114758" s="97" t="s">
        <v>164</v>
      </c>
    </row>
    <row r="114759" spans="1:1" x14ac:dyDescent="0.2">
      <c r="A114759" s="97" t="s">
        <v>165</v>
      </c>
    </row>
    <row r="114760" spans="1:1" x14ac:dyDescent="0.2">
      <c r="A114760" s="97" t="s">
        <v>166</v>
      </c>
    </row>
    <row r="114761" spans="1:1" x14ac:dyDescent="0.2">
      <c r="A114761" s="97" t="s">
        <v>167</v>
      </c>
    </row>
    <row r="114762" spans="1:1" x14ac:dyDescent="0.2">
      <c r="A114762" s="97" t="s">
        <v>168</v>
      </c>
    </row>
    <row r="114763" spans="1:1" x14ac:dyDescent="0.2">
      <c r="A114763" s="97" t="s">
        <v>169</v>
      </c>
    </row>
    <row r="114764" spans="1:1" x14ac:dyDescent="0.2">
      <c r="A114764" s="97" t="s">
        <v>170</v>
      </c>
    </row>
    <row r="114765" spans="1:1" x14ac:dyDescent="0.2">
      <c r="A114765" s="97" t="s">
        <v>171</v>
      </c>
    </row>
    <row r="114766" spans="1:1" x14ac:dyDescent="0.2">
      <c r="A114766" s="97" t="s">
        <v>172</v>
      </c>
    </row>
    <row r="114767" spans="1:1" x14ac:dyDescent="0.2">
      <c r="A114767" s="97" t="s">
        <v>173</v>
      </c>
    </row>
    <row r="114768" spans="1:1" x14ac:dyDescent="0.2">
      <c r="A114768" s="97" t="s">
        <v>174</v>
      </c>
    </row>
    <row r="114769" spans="1:1" x14ac:dyDescent="0.2">
      <c r="A114769" s="97" t="s">
        <v>175</v>
      </c>
    </row>
    <row r="114770" spans="1:1" x14ac:dyDescent="0.2">
      <c r="A114770" s="97" t="s">
        <v>176</v>
      </c>
    </row>
    <row r="114771" spans="1:1" x14ac:dyDescent="0.2">
      <c r="A114771" s="97" t="s">
        <v>177</v>
      </c>
    </row>
    <row r="114772" spans="1:1" x14ac:dyDescent="0.2">
      <c r="A114772" s="97" t="s">
        <v>178</v>
      </c>
    </row>
    <row r="114773" spans="1:1" x14ac:dyDescent="0.2">
      <c r="A114773" s="97" t="s">
        <v>179</v>
      </c>
    </row>
    <row r="114774" spans="1:1" x14ac:dyDescent="0.2">
      <c r="A114774" s="97" t="s">
        <v>180</v>
      </c>
    </row>
    <row r="114775" spans="1:1" x14ac:dyDescent="0.2">
      <c r="A114775" s="97" t="s">
        <v>181</v>
      </c>
    </row>
    <row r="114776" spans="1:1" x14ac:dyDescent="0.2">
      <c r="A114776" s="97" t="s">
        <v>182</v>
      </c>
    </row>
    <row r="114777" spans="1:1" x14ac:dyDescent="0.2">
      <c r="A114777" s="97" t="s">
        <v>183</v>
      </c>
    </row>
    <row r="131073" spans="1:1" x14ac:dyDescent="0.2">
      <c r="A131073" s="97" t="s">
        <v>95</v>
      </c>
    </row>
    <row r="131074" spans="1:1" x14ac:dyDescent="0.2">
      <c r="A131074" s="97" t="s">
        <v>96</v>
      </c>
    </row>
    <row r="131075" spans="1:1" x14ac:dyDescent="0.2">
      <c r="A131075" s="97" t="s">
        <v>97</v>
      </c>
    </row>
    <row r="131076" spans="1:1" x14ac:dyDescent="0.2">
      <c r="A131076" s="97" t="s">
        <v>98</v>
      </c>
    </row>
    <row r="131077" spans="1:1" x14ac:dyDescent="0.2">
      <c r="A131077" s="97" t="s">
        <v>99</v>
      </c>
    </row>
    <row r="131078" spans="1:1" x14ac:dyDescent="0.2">
      <c r="A131078" s="97" t="s">
        <v>100</v>
      </c>
    </row>
    <row r="131079" spans="1:1" x14ac:dyDescent="0.2">
      <c r="A131079" s="97" t="s">
        <v>101</v>
      </c>
    </row>
    <row r="131080" spans="1:1" x14ac:dyDescent="0.2">
      <c r="A131080" s="97" t="s">
        <v>102</v>
      </c>
    </row>
    <row r="131081" spans="1:1" x14ac:dyDescent="0.2">
      <c r="A131081" s="97" t="s">
        <v>103</v>
      </c>
    </row>
    <row r="131082" spans="1:1" x14ac:dyDescent="0.2">
      <c r="A131082" s="97" t="s">
        <v>104</v>
      </c>
    </row>
    <row r="131083" spans="1:1" x14ac:dyDescent="0.2">
      <c r="A131083" s="97" t="s">
        <v>105</v>
      </c>
    </row>
    <row r="131084" spans="1:1" x14ac:dyDescent="0.2">
      <c r="A131084" s="97" t="s">
        <v>106</v>
      </c>
    </row>
    <row r="131085" spans="1:1" x14ac:dyDescent="0.2">
      <c r="A131085" s="97" t="s">
        <v>107</v>
      </c>
    </row>
    <row r="131086" spans="1:1" x14ac:dyDescent="0.2">
      <c r="A131086" s="97" t="s">
        <v>108</v>
      </c>
    </row>
    <row r="131087" spans="1:1" x14ac:dyDescent="0.2">
      <c r="A131087" s="97" t="s">
        <v>109</v>
      </c>
    </row>
    <row r="131088" spans="1:1" x14ac:dyDescent="0.2">
      <c r="A131088" s="97" t="s">
        <v>110</v>
      </c>
    </row>
    <row r="131089" spans="1:1" x14ac:dyDescent="0.2">
      <c r="A131089" s="97" t="s">
        <v>111</v>
      </c>
    </row>
    <row r="131090" spans="1:1" x14ac:dyDescent="0.2">
      <c r="A131090" s="97" t="s">
        <v>112</v>
      </c>
    </row>
    <row r="131091" spans="1:1" x14ac:dyDescent="0.2">
      <c r="A131091" s="97" t="s">
        <v>113</v>
      </c>
    </row>
    <row r="131092" spans="1:1" x14ac:dyDescent="0.2">
      <c r="A131092" s="97" t="s">
        <v>114</v>
      </c>
    </row>
    <row r="131093" spans="1:1" x14ac:dyDescent="0.2">
      <c r="A131093" s="97" t="s">
        <v>115</v>
      </c>
    </row>
    <row r="131094" spans="1:1" x14ac:dyDescent="0.2">
      <c r="A131094" s="97" t="s">
        <v>116</v>
      </c>
    </row>
    <row r="131095" spans="1:1" x14ac:dyDescent="0.2">
      <c r="A131095" s="97" t="s">
        <v>117</v>
      </c>
    </row>
    <row r="131096" spans="1:1" x14ac:dyDescent="0.2">
      <c r="A131096" s="97" t="s">
        <v>118</v>
      </c>
    </row>
    <row r="131097" spans="1:1" x14ac:dyDescent="0.2">
      <c r="A131097" s="97" t="s">
        <v>119</v>
      </c>
    </row>
    <row r="131098" spans="1:1" x14ac:dyDescent="0.2">
      <c r="A131098" s="97" t="s">
        <v>120</v>
      </c>
    </row>
    <row r="131099" spans="1:1" x14ac:dyDescent="0.2">
      <c r="A131099" s="97" t="s">
        <v>121</v>
      </c>
    </row>
    <row r="131100" spans="1:1" x14ac:dyDescent="0.2">
      <c r="A131100" s="97" t="s">
        <v>122</v>
      </c>
    </row>
    <row r="131101" spans="1:1" x14ac:dyDescent="0.2">
      <c r="A131101" s="97" t="s">
        <v>123</v>
      </c>
    </row>
    <row r="131102" spans="1:1" x14ac:dyDescent="0.2">
      <c r="A131102" s="97" t="s">
        <v>124</v>
      </c>
    </row>
    <row r="131103" spans="1:1" x14ac:dyDescent="0.2">
      <c r="A131103" s="97" t="s">
        <v>125</v>
      </c>
    </row>
    <row r="131104" spans="1:1" x14ac:dyDescent="0.2">
      <c r="A131104" s="97" t="s">
        <v>126</v>
      </c>
    </row>
    <row r="131105" spans="1:1" x14ac:dyDescent="0.2">
      <c r="A131105" s="97" t="s">
        <v>127</v>
      </c>
    </row>
    <row r="131106" spans="1:1" x14ac:dyDescent="0.2">
      <c r="A131106" s="97" t="s">
        <v>128</v>
      </c>
    </row>
    <row r="131107" spans="1:1" x14ac:dyDescent="0.2">
      <c r="A131107" s="97" t="s">
        <v>129</v>
      </c>
    </row>
    <row r="131108" spans="1:1" x14ac:dyDescent="0.2">
      <c r="A131108" s="97" t="s">
        <v>130</v>
      </c>
    </row>
    <row r="131109" spans="1:1" x14ac:dyDescent="0.2">
      <c r="A131109" s="97" t="s">
        <v>131</v>
      </c>
    </row>
    <row r="131110" spans="1:1" x14ac:dyDescent="0.2">
      <c r="A131110" s="97" t="s">
        <v>132</v>
      </c>
    </row>
    <row r="131111" spans="1:1" x14ac:dyDescent="0.2">
      <c r="A131111" s="97" t="s">
        <v>133</v>
      </c>
    </row>
    <row r="131112" spans="1:1" x14ac:dyDescent="0.2">
      <c r="A131112" s="97" t="s">
        <v>134</v>
      </c>
    </row>
    <row r="131113" spans="1:1" x14ac:dyDescent="0.2">
      <c r="A131113" s="97" t="s">
        <v>135</v>
      </c>
    </row>
    <row r="131114" spans="1:1" x14ac:dyDescent="0.2">
      <c r="A131114" s="97" t="s">
        <v>136</v>
      </c>
    </row>
    <row r="131115" spans="1:1" x14ac:dyDescent="0.2">
      <c r="A131115" s="97" t="s">
        <v>137</v>
      </c>
    </row>
    <row r="131116" spans="1:1" x14ac:dyDescent="0.2">
      <c r="A131116" s="97" t="s">
        <v>138</v>
      </c>
    </row>
    <row r="131117" spans="1:1" x14ac:dyDescent="0.2">
      <c r="A131117" s="97" t="s">
        <v>139</v>
      </c>
    </row>
    <row r="131118" spans="1:1" x14ac:dyDescent="0.2">
      <c r="A131118" s="97" t="s">
        <v>140</v>
      </c>
    </row>
    <row r="131119" spans="1:1" x14ac:dyDescent="0.2">
      <c r="A131119" s="97" t="s">
        <v>141</v>
      </c>
    </row>
    <row r="131120" spans="1:1" x14ac:dyDescent="0.2">
      <c r="A131120" s="97" t="s">
        <v>142</v>
      </c>
    </row>
    <row r="131121" spans="1:1" x14ac:dyDescent="0.2">
      <c r="A131121" s="97" t="s">
        <v>143</v>
      </c>
    </row>
    <row r="131122" spans="1:1" x14ac:dyDescent="0.2">
      <c r="A131122" s="97" t="s">
        <v>144</v>
      </c>
    </row>
    <row r="131123" spans="1:1" x14ac:dyDescent="0.2">
      <c r="A131123" s="97" t="s">
        <v>145</v>
      </c>
    </row>
    <row r="131124" spans="1:1" x14ac:dyDescent="0.2">
      <c r="A131124" s="97" t="s">
        <v>146</v>
      </c>
    </row>
    <row r="131125" spans="1:1" x14ac:dyDescent="0.2">
      <c r="A131125" s="97" t="s">
        <v>147</v>
      </c>
    </row>
    <row r="131126" spans="1:1" x14ac:dyDescent="0.2">
      <c r="A131126" s="97" t="s">
        <v>148</v>
      </c>
    </row>
    <row r="131127" spans="1:1" x14ac:dyDescent="0.2">
      <c r="A131127" s="97" t="s">
        <v>149</v>
      </c>
    </row>
    <row r="131128" spans="1:1" x14ac:dyDescent="0.2">
      <c r="A131128" s="97" t="s">
        <v>150</v>
      </c>
    </row>
    <row r="131129" spans="1:1" x14ac:dyDescent="0.2">
      <c r="A131129" s="97" t="s">
        <v>151</v>
      </c>
    </row>
    <row r="131130" spans="1:1" x14ac:dyDescent="0.2">
      <c r="A131130" s="97" t="s">
        <v>152</v>
      </c>
    </row>
    <row r="131131" spans="1:1" x14ac:dyDescent="0.2">
      <c r="A131131" s="97" t="s">
        <v>153</v>
      </c>
    </row>
    <row r="131132" spans="1:1" x14ac:dyDescent="0.2">
      <c r="A131132" s="97" t="s">
        <v>154</v>
      </c>
    </row>
    <row r="131133" spans="1:1" x14ac:dyDescent="0.2">
      <c r="A131133" s="97" t="s">
        <v>155</v>
      </c>
    </row>
    <row r="131134" spans="1:1" x14ac:dyDescent="0.2">
      <c r="A131134" s="97" t="s">
        <v>156</v>
      </c>
    </row>
    <row r="131135" spans="1:1" x14ac:dyDescent="0.2">
      <c r="A131135" s="97" t="s">
        <v>157</v>
      </c>
    </row>
    <row r="131136" spans="1:1" x14ac:dyDescent="0.2">
      <c r="A131136" s="97" t="s">
        <v>158</v>
      </c>
    </row>
    <row r="131137" spans="1:1" x14ac:dyDescent="0.2">
      <c r="A131137" s="97" t="s">
        <v>159</v>
      </c>
    </row>
    <row r="131138" spans="1:1" x14ac:dyDescent="0.2">
      <c r="A131138" s="97" t="s">
        <v>160</v>
      </c>
    </row>
    <row r="131139" spans="1:1" x14ac:dyDescent="0.2">
      <c r="A131139" s="97" t="s">
        <v>161</v>
      </c>
    </row>
    <row r="131140" spans="1:1" x14ac:dyDescent="0.2">
      <c r="A131140" s="97" t="s">
        <v>162</v>
      </c>
    </row>
    <row r="131141" spans="1:1" x14ac:dyDescent="0.2">
      <c r="A131141" s="97" t="s">
        <v>163</v>
      </c>
    </row>
    <row r="131142" spans="1:1" x14ac:dyDescent="0.2">
      <c r="A131142" s="97" t="s">
        <v>164</v>
      </c>
    </row>
    <row r="131143" spans="1:1" x14ac:dyDescent="0.2">
      <c r="A131143" s="97" t="s">
        <v>165</v>
      </c>
    </row>
    <row r="131144" spans="1:1" x14ac:dyDescent="0.2">
      <c r="A131144" s="97" t="s">
        <v>166</v>
      </c>
    </row>
    <row r="131145" spans="1:1" x14ac:dyDescent="0.2">
      <c r="A131145" s="97" t="s">
        <v>167</v>
      </c>
    </row>
    <row r="131146" spans="1:1" x14ac:dyDescent="0.2">
      <c r="A131146" s="97" t="s">
        <v>168</v>
      </c>
    </row>
    <row r="131147" spans="1:1" x14ac:dyDescent="0.2">
      <c r="A131147" s="97" t="s">
        <v>169</v>
      </c>
    </row>
    <row r="131148" spans="1:1" x14ac:dyDescent="0.2">
      <c r="A131148" s="97" t="s">
        <v>170</v>
      </c>
    </row>
    <row r="131149" spans="1:1" x14ac:dyDescent="0.2">
      <c r="A131149" s="97" t="s">
        <v>171</v>
      </c>
    </row>
    <row r="131150" spans="1:1" x14ac:dyDescent="0.2">
      <c r="A131150" s="97" t="s">
        <v>172</v>
      </c>
    </row>
    <row r="131151" spans="1:1" x14ac:dyDescent="0.2">
      <c r="A131151" s="97" t="s">
        <v>173</v>
      </c>
    </row>
    <row r="131152" spans="1:1" x14ac:dyDescent="0.2">
      <c r="A131152" s="97" t="s">
        <v>174</v>
      </c>
    </row>
    <row r="131153" spans="1:1" x14ac:dyDescent="0.2">
      <c r="A131153" s="97" t="s">
        <v>175</v>
      </c>
    </row>
    <row r="131154" spans="1:1" x14ac:dyDescent="0.2">
      <c r="A131154" s="97" t="s">
        <v>176</v>
      </c>
    </row>
    <row r="131155" spans="1:1" x14ac:dyDescent="0.2">
      <c r="A131155" s="97" t="s">
        <v>177</v>
      </c>
    </row>
    <row r="131156" spans="1:1" x14ac:dyDescent="0.2">
      <c r="A131156" s="97" t="s">
        <v>178</v>
      </c>
    </row>
    <row r="131157" spans="1:1" x14ac:dyDescent="0.2">
      <c r="A131157" s="97" t="s">
        <v>179</v>
      </c>
    </row>
    <row r="131158" spans="1:1" x14ac:dyDescent="0.2">
      <c r="A131158" s="97" t="s">
        <v>180</v>
      </c>
    </row>
    <row r="131159" spans="1:1" x14ac:dyDescent="0.2">
      <c r="A131159" s="97" t="s">
        <v>181</v>
      </c>
    </row>
    <row r="131160" spans="1:1" x14ac:dyDescent="0.2">
      <c r="A131160" s="97" t="s">
        <v>182</v>
      </c>
    </row>
    <row r="131161" spans="1:1" x14ac:dyDescent="0.2">
      <c r="A131161" s="97" t="s">
        <v>183</v>
      </c>
    </row>
    <row r="147457" spans="1:1" x14ac:dyDescent="0.2">
      <c r="A147457" s="97" t="s">
        <v>95</v>
      </c>
    </row>
    <row r="147458" spans="1:1" x14ac:dyDescent="0.2">
      <c r="A147458" s="97" t="s">
        <v>96</v>
      </c>
    </row>
    <row r="147459" spans="1:1" x14ac:dyDescent="0.2">
      <c r="A147459" s="97" t="s">
        <v>97</v>
      </c>
    </row>
    <row r="147460" spans="1:1" x14ac:dyDescent="0.2">
      <c r="A147460" s="97" t="s">
        <v>98</v>
      </c>
    </row>
    <row r="147461" spans="1:1" x14ac:dyDescent="0.2">
      <c r="A147461" s="97" t="s">
        <v>99</v>
      </c>
    </row>
    <row r="147462" spans="1:1" x14ac:dyDescent="0.2">
      <c r="A147462" s="97" t="s">
        <v>100</v>
      </c>
    </row>
    <row r="147463" spans="1:1" x14ac:dyDescent="0.2">
      <c r="A147463" s="97" t="s">
        <v>101</v>
      </c>
    </row>
    <row r="147464" spans="1:1" x14ac:dyDescent="0.2">
      <c r="A147464" s="97" t="s">
        <v>102</v>
      </c>
    </row>
    <row r="147465" spans="1:1" x14ac:dyDescent="0.2">
      <c r="A147465" s="97" t="s">
        <v>103</v>
      </c>
    </row>
    <row r="147466" spans="1:1" x14ac:dyDescent="0.2">
      <c r="A147466" s="97" t="s">
        <v>104</v>
      </c>
    </row>
    <row r="147467" spans="1:1" x14ac:dyDescent="0.2">
      <c r="A147467" s="97" t="s">
        <v>105</v>
      </c>
    </row>
    <row r="147468" spans="1:1" x14ac:dyDescent="0.2">
      <c r="A147468" s="97" t="s">
        <v>106</v>
      </c>
    </row>
    <row r="147469" spans="1:1" x14ac:dyDescent="0.2">
      <c r="A147469" s="97" t="s">
        <v>107</v>
      </c>
    </row>
    <row r="147470" spans="1:1" x14ac:dyDescent="0.2">
      <c r="A147470" s="97" t="s">
        <v>108</v>
      </c>
    </row>
    <row r="147471" spans="1:1" x14ac:dyDescent="0.2">
      <c r="A147471" s="97" t="s">
        <v>109</v>
      </c>
    </row>
    <row r="147472" spans="1:1" x14ac:dyDescent="0.2">
      <c r="A147472" s="97" t="s">
        <v>110</v>
      </c>
    </row>
    <row r="147473" spans="1:1" x14ac:dyDescent="0.2">
      <c r="A147473" s="97" t="s">
        <v>111</v>
      </c>
    </row>
    <row r="147474" spans="1:1" x14ac:dyDescent="0.2">
      <c r="A147474" s="97" t="s">
        <v>112</v>
      </c>
    </row>
    <row r="147475" spans="1:1" x14ac:dyDescent="0.2">
      <c r="A147475" s="97" t="s">
        <v>113</v>
      </c>
    </row>
    <row r="147476" spans="1:1" x14ac:dyDescent="0.2">
      <c r="A147476" s="97" t="s">
        <v>114</v>
      </c>
    </row>
    <row r="147477" spans="1:1" x14ac:dyDescent="0.2">
      <c r="A147477" s="97" t="s">
        <v>115</v>
      </c>
    </row>
    <row r="147478" spans="1:1" x14ac:dyDescent="0.2">
      <c r="A147478" s="97" t="s">
        <v>116</v>
      </c>
    </row>
    <row r="147479" spans="1:1" x14ac:dyDescent="0.2">
      <c r="A147479" s="97" t="s">
        <v>117</v>
      </c>
    </row>
    <row r="147480" spans="1:1" x14ac:dyDescent="0.2">
      <c r="A147480" s="97" t="s">
        <v>118</v>
      </c>
    </row>
    <row r="147481" spans="1:1" x14ac:dyDescent="0.2">
      <c r="A147481" s="97" t="s">
        <v>119</v>
      </c>
    </row>
    <row r="147482" spans="1:1" x14ac:dyDescent="0.2">
      <c r="A147482" s="97" t="s">
        <v>120</v>
      </c>
    </row>
    <row r="147483" spans="1:1" x14ac:dyDescent="0.2">
      <c r="A147483" s="97" t="s">
        <v>121</v>
      </c>
    </row>
    <row r="147484" spans="1:1" x14ac:dyDescent="0.2">
      <c r="A147484" s="97" t="s">
        <v>122</v>
      </c>
    </row>
    <row r="147485" spans="1:1" x14ac:dyDescent="0.2">
      <c r="A147485" s="97" t="s">
        <v>123</v>
      </c>
    </row>
    <row r="147486" spans="1:1" x14ac:dyDescent="0.2">
      <c r="A147486" s="97" t="s">
        <v>124</v>
      </c>
    </row>
    <row r="147487" spans="1:1" x14ac:dyDescent="0.2">
      <c r="A147487" s="97" t="s">
        <v>125</v>
      </c>
    </row>
    <row r="147488" spans="1:1" x14ac:dyDescent="0.2">
      <c r="A147488" s="97" t="s">
        <v>126</v>
      </c>
    </row>
    <row r="147489" spans="1:1" x14ac:dyDescent="0.2">
      <c r="A147489" s="97" t="s">
        <v>127</v>
      </c>
    </row>
    <row r="147490" spans="1:1" x14ac:dyDescent="0.2">
      <c r="A147490" s="97" t="s">
        <v>128</v>
      </c>
    </row>
    <row r="147491" spans="1:1" x14ac:dyDescent="0.2">
      <c r="A147491" s="97" t="s">
        <v>129</v>
      </c>
    </row>
    <row r="147492" spans="1:1" x14ac:dyDescent="0.2">
      <c r="A147492" s="97" t="s">
        <v>130</v>
      </c>
    </row>
    <row r="147493" spans="1:1" x14ac:dyDescent="0.2">
      <c r="A147493" s="97" t="s">
        <v>131</v>
      </c>
    </row>
    <row r="147494" spans="1:1" x14ac:dyDescent="0.2">
      <c r="A147494" s="97" t="s">
        <v>132</v>
      </c>
    </row>
    <row r="147495" spans="1:1" x14ac:dyDescent="0.2">
      <c r="A147495" s="97" t="s">
        <v>133</v>
      </c>
    </row>
    <row r="147496" spans="1:1" x14ac:dyDescent="0.2">
      <c r="A147496" s="97" t="s">
        <v>134</v>
      </c>
    </row>
    <row r="147497" spans="1:1" x14ac:dyDescent="0.2">
      <c r="A147497" s="97" t="s">
        <v>135</v>
      </c>
    </row>
    <row r="147498" spans="1:1" x14ac:dyDescent="0.2">
      <c r="A147498" s="97" t="s">
        <v>136</v>
      </c>
    </row>
    <row r="147499" spans="1:1" x14ac:dyDescent="0.2">
      <c r="A147499" s="97" t="s">
        <v>137</v>
      </c>
    </row>
    <row r="147500" spans="1:1" x14ac:dyDescent="0.2">
      <c r="A147500" s="97" t="s">
        <v>138</v>
      </c>
    </row>
    <row r="147501" spans="1:1" x14ac:dyDescent="0.2">
      <c r="A147501" s="97" t="s">
        <v>139</v>
      </c>
    </row>
    <row r="147502" spans="1:1" x14ac:dyDescent="0.2">
      <c r="A147502" s="97" t="s">
        <v>140</v>
      </c>
    </row>
    <row r="147503" spans="1:1" x14ac:dyDescent="0.2">
      <c r="A147503" s="97" t="s">
        <v>141</v>
      </c>
    </row>
    <row r="147504" spans="1:1" x14ac:dyDescent="0.2">
      <c r="A147504" s="97" t="s">
        <v>142</v>
      </c>
    </row>
    <row r="147505" spans="1:1" x14ac:dyDescent="0.2">
      <c r="A147505" s="97" t="s">
        <v>143</v>
      </c>
    </row>
    <row r="147506" spans="1:1" x14ac:dyDescent="0.2">
      <c r="A147506" s="97" t="s">
        <v>144</v>
      </c>
    </row>
    <row r="147507" spans="1:1" x14ac:dyDescent="0.2">
      <c r="A147507" s="97" t="s">
        <v>145</v>
      </c>
    </row>
    <row r="147508" spans="1:1" x14ac:dyDescent="0.2">
      <c r="A147508" s="97" t="s">
        <v>146</v>
      </c>
    </row>
    <row r="147509" spans="1:1" x14ac:dyDescent="0.2">
      <c r="A147509" s="97" t="s">
        <v>147</v>
      </c>
    </row>
    <row r="147510" spans="1:1" x14ac:dyDescent="0.2">
      <c r="A147510" s="97" t="s">
        <v>148</v>
      </c>
    </row>
    <row r="147511" spans="1:1" x14ac:dyDescent="0.2">
      <c r="A147511" s="97" t="s">
        <v>149</v>
      </c>
    </row>
    <row r="147512" spans="1:1" x14ac:dyDescent="0.2">
      <c r="A147512" s="97" t="s">
        <v>150</v>
      </c>
    </row>
    <row r="147513" spans="1:1" x14ac:dyDescent="0.2">
      <c r="A147513" s="97" t="s">
        <v>151</v>
      </c>
    </row>
    <row r="147514" spans="1:1" x14ac:dyDescent="0.2">
      <c r="A147514" s="97" t="s">
        <v>152</v>
      </c>
    </row>
    <row r="147515" spans="1:1" x14ac:dyDescent="0.2">
      <c r="A147515" s="97" t="s">
        <v>153</v>
      </c>
    </row>
    <row r="147516" spans="1:1" x14ac:dyDescent="0.2">
      <c r="A147516" s="97" t="s">
        <v>154</v>
      </c>
    </row>
    <row r="147517" spans="1:1" x14ac:dyDescent="0.2">
      <c r="A147517" s="97" t="s">
        <v>155</v>
      </c>
    </row>
    <row r="147518" spans="1:1" x14ac:dyDescent="0.2">
      <c r="A147518" s="97" t="s">
        <v>156</v>
      </c>
    </row>
    <row r="147519" spans="1:1" x14ac:dyDescent="0.2">
      <c r="A147519" s="97" t="s">
        <v>157</v>
      </c>
    </row>
    <row r="147520" spans="1:1" x14ac:dyDescent="0.2">
      <c r="A147520" s="97" t="s">
        <v>158</v>
      </c>
    </row>
    <row r="147521" spans="1:1" x14ac:dyDescent="0.2">
      <c r="A147521" s="97" t="s">
        <v>159</v>
      </c>
    </row>
    <row r="147522" spans="1:1" x14ac:dyDescent="0.2">
      <c r="A147522" s="97" t="s">
        <v>160</v>
      </c>
    </row>
    <row r="147523" spans="1:1" x14ac:dyDescent="0.2">
      <c r="A147523" s="97" t="s">
        <v>161</v>
      </c>
    </row>
    <row r="147524" spans="1:1" x14ac:dyDescent="0.2">
      <c r="A147524" s="97" t="s">
        <v>162</v>
      </c>
    </row>
    <row r="147525" spans="1:1" x14ac:dyDescent="0.2">
      <c r="A147525" s="97" t="s">
        <v>163</v>
      </c>
    </row>
    <row r="147526" spans="1:1" x14ac:dyDescent="0.2">
      <c r="A147526" s="97" t="s">
        <v>164</v>
      </c>
    </row>
    <row r="147527" spans="1:1" x14ac:dyDescent="0.2">
      <c r="A147527" s="97" t="s">
        <v>165</v>
      </c>
    </row>
    <row r="147528" spans="1:1" x14ac:dyDescent="0.2">
      <c r="A147528" s="97" t="s">
        <v>166</v>
      </c>
    </row>
    <row r="147529" spans="1:1" x14ac:dyDescent="0.2">
      <c r="A147529" s="97" t="s">
        <v>167</v>
      </c>
    </row>
    <row r="147530" spans="1:1" x14ac:dyDescent="0.2">
      <c r="A147530" s="97" t="s">
        <v>168</v>
      </c>
    </row>
    <row r="147531" spans="1:1" x14ac:dyDescent="0.2">
      <c r="A147531" s="97" t="s">
        <v>169</v>
      </c>
    </row>
    <row r="147532" spans="1:1" x14ac:dyDescent="0.2">
      <c r="A147532" s="97" t="s">
        <v>170</v>
      </c>
    </row>
    <row r="147533" spans="1:1" x14ac:dyDescent="0.2">
      <c r="A147533" s="97" t="s">
        <v>171</v>
      </c>
    </row>
    <row r="147534" spans="1:1" x14ac:dyDescent="0.2">
      <c r="A147534" s="97" t="s">
        <v>172</v>
      </c>
    </row>
    <row r="147535" spans="1:1" x14ac:dyDescent="0.2">
      <c r="A147535" s="97" t="s">
        <v>173</v>
      </c>
    </row>
    <row r="147536" spans="1:1" x14ac:dyDescent="0.2">
      <c r="A147536" s="97" t="s">
        <v>174</v>
      </c>
    </row>
    <row r="147537" spans="1:1" x14ac:dyDescent="0.2">
      <c r="A147537" s="97" t="s">
        <v>175</v>
      </c>
    </row>
    <row r="147538" spans="1:1" x14ac:dyDescent="0.2">
      <c r="A147538" s="97" t="s">
        <v>176</v>
      </c>
    </row>
    <row r="147539" spans="1:1" x14ac:dyDescent="0.2">
      <c r="A147539" s="97" t="s">
        <v>177</v>
      </c>
    </row>
    <row r="147540" spans="1:1" x14ac:dyDescent="0.2">
      <c r="A147540" s="97" t="s">
        <v>178</v>
      </c>
    </row>
    <row r="147541" spans="1:1" x14ac:dyDescent="0.2">
      <c r="A147541" s="97" t="s">
        <v>179</v>
      </c>
    </row>
    <row r="147542" spans="1:1" x14ac:dyDescent="0.2">
      <c r="A147542" s="97" t="s">
        <v>180</v>
      </c>
    </row>
    <row r="147543" spans="1:1" x14ac:dyDescent="0.2">
      <c r="A147543" s="97" t="s">
        <v>181</v>
      </c>
    </row>
    <row r="147544" spans="1:1" x14ac:dyDescent="0.2">
      <c r="A147544" s="97" t="s">
        <v>182</v>
      </c>
    </row>
    <row r="147545" spans="1:1" x14ac:dyDescent="0.2">
      <c r="A147545" s="97" t="s">
        <v>183</v>
      </c>
    </row>
    <row r="163841" spans="1:1" x14ac:dyDescent="0.2">
      <c r="A163841" s="97" t="s">
        <v>95</v>
      </c>
    </row>
    <row r="163842" spans="1:1" x14ac:dyDescent="0.2">
      <c r="A163842" s="97" t="s">
        <v>96</v>
      </c>
    </row>
    <row r="163843" spans="1:1" x14ac:dyDescent="0.2">
      <c r="A163843" s="97" t="s">
        <v>97</v>
      </c>
    </row>
    <row r="163844" spans="1:1" x14ac:dyDescent="0.2">
      <c r="A163844" s="97" t="s">
        <v>98</v>
      </c>
    </row>
    <row r="163845" spans="1:1" x14ac:dyDescent="0.2">
      <c r="A163845" s="97" t="s">
        <v>99</v>
      </c>
    </row>
    <row r="163846" spans="1:1" x14ac:dyDescent="0.2">
      <c r="A163846" s="97" t="s">
        <v>100</v>
      </c>
    </row>
    <row r="163847" spans="1:1" x14ac:dyDescent="0.2">
      <c r="A163847" s="97" t="s">
        <v>101</v>
      </c>
    </row>
    <row r="163848" spans="1:1" x14ac:dyDescent="0.2">
      <c r="A163848" s="97" t="s">
        <v>102</v>
      </c>
    </row>
    <row r="163849" spans="1:1" x14ac:dyDescent="0.2">
      <c r="A163849" s="97" t="s">
        <v>103</v>
      </c>
    </row>
    <row r="163850" spans="1:1" x14ac:dyDescent="0.2">
      <c r="A163850" s="97" t="s">
        <v>104</v>
      </c>
    </row>
    <row r="163851" spans="1:1" x14ac:dyDescent="0.2">
      <c r="A163851" s="97" t="s">
        <v>105</v>
      </c>
    </row>
    <row r="163852" spans="1:1" x14ac:dyDescent="0.2">
      <c r="A163852" s="97" t="s">
        <v>106</v>
      </c>
    </row>
    <row r="163853" spans="1:1" x14ac:dyDescent="0.2">
      <c r="A163853" s="97" t="s">
        <v>107</v>
      </c>
    </row>
    <row r="163854" spans="1:1" x14ac:dyDescent="0.2">
      <c r="A163854" s="97" t="s">
        <v>108</v>
      </c>
    </row>
    <row r="163855" spans="1:1" x14ac:dyDescent="0.2">
      <c r="A163855" s="97" t="s">
        <v>109</v>
      </c>
    </row>
    <row r="163856" spans="1:1" x14ac:dyDescent="0.2">
      <c r="A163856" s="97" t="s">
        <v>110</v>
      </c>
    </row>
    <row r="163857" spans="1:1" x14ac:dyDescent="0.2">
      <c r="A163857" s="97" t="s">
        <v>111</v>
      </c>
    </row>
    <row r="163858" spans="1:1" x14ac:dyDescent="0.2">
      <c r="A163858" s="97" t="s">
        <v>112</v>
      </c>
    </row>
    <row r="163859" spans="1:1" x14ac:dyDescent="0.2">
      <c r="A163859" s="97" t="s">
        <v>113</v>
      </c>
    </row>
    <row r="163860" spans="1:1" x14ac:dyDescent="0.2">
      <c r="A163860" s="97" t="s">
        <v>114</v>
      </c>
    </row>
    <row r="163861" spans="1:1" x14ac:dyDescent="0.2">
      <c r="A163861" s="97" t="s">
        <v>115</v>
      </c>
    </row>
    <row r="163862" spans="1:1" x14ac:dyDescent="0.2">
      <c r="A163862" s="97" t="s">
        <v>116</v>
      </c>
    </row>
    <row r="163863" spans="1:1" x14ac:dyDescent="0.2">
      <c r="A163863" s="97" t="s">
        <v>117</v>
      </c>
    </row>
    <row r="163864" spans="1:1" x14ac:dyDescent="0.2">
      <c r="A163864" s="97" t="s">
        <v>118</v>
      </c>
    </row>
    <row r="163865" spans="1:1" x14ac:dyDescent="0.2">
      <c r="A163865" s="97" t="s">
        <v>119</v>
      </c>
    </row>
    <row r="163866" spans="1:1" x14ac:dyDescent="0.2">
      <c r="A163866" s="97" t="s">
        <v>120</v>
      </c>
    </row>
    <row r="163867" spans="1:1" x14ac:dyDescent="0.2">
      <c r="A163867" s="97" t="s">
        <v>121</v>
      </c>
    </row>
    <row r="163868" spans="1:1" x14ac:dyDescent="0.2">
      <c r="A163868" s="97" t="s">
        <v>122</v>
      </c>
    </row>
    <row r="163869" spans="1:1" x14ac:dyDescent="0.2">
      <c r="A163869" s="97" t="s">
        <v>123</v>
      </c>
    </row>
    <row r="163870" spans="1:1" x14ac:dyDescent="0.2">
      <c r="A163870" s="97" t="s">
        <v>124</v>
      </c>
    </row>
    <row r="163871" spans="1:1" x14ac:dyDescent="0.2">
      <c r="A163871" s="97" t="s">
        <v>125</v>
      </c>
    </row>
    <row r="163872" spans="1:1" x14ac:dyDescent="0.2">
      <c r="A163872" s="97" t="s">
        <v>126</v>
      </c>
    </row>
    <row r="163873" spans="1:1" x14ac:dyDescent="0.2">
      <c r="A163873" s="97" t="s">
        <v>127</v>
      </c>
    </row>
    <row r="163874" spans="1:1" x14ac:dyDescent="0.2">
      <c r="A163874" s="97" t="s">
        <v>128</v>
      </c>
    </row>
    <row r="163875" spans="1:1" x14ac:dyDescent="0.2">
      <c r="A163875" s="97" t="s">
        <v>129</v>
      </c>
    </row>
    <row r="163876" spans="1:1" x14ac:dyDescent="0.2">
      <c r="A163876" s="97" t="s">
        <v>130</v>
      </c>
    </row>
    <row r="163877" spans="1:1" x14ac:dyDescent="0.2">
      <c r="A163877" s="97" t="s">
        <v>131</v>
      </c>
    </row>
    <row r="163878" spans="1:1" x14ac:dyDescent="0.2">
      <c r="A163878" s="97" t="s">
        <v>132</v>
      </c>
    </row>
    <row r="163879" spans="1:1" x14ac:dyDescent="0.2">
      <c r="A163879" s="97" t="s">
        <v>133</v>
      </c>
    </row>
    <row r="163880" spans="1:1" x14ac:dyDescent="0.2">
      <c r="A163880" s="97" t="s">
        <v>134</v>
      </c>
    </row>
    <row r="163881" spans="1:1" x14ac:dyDescent="0.2">
      <c r="A163881" s="97" t="s">
        <v>135</v>
      </c>
    </row>
    <row r="163882" spans="1:1" x14ac:dyDescent="0.2">
      <c r="A163882" s="97" t="s">
        <v>136</v>
      </c>
    </row>
    <row r="163883" spans="1:1" x14ac:dyDescent="0.2">
      <c r="A163883" s="97" t="s">
        <v>137</v>
      </c>
    </row>
    <row r="163884" spans="1:1" x14ac:dyDescent="0.2">
      <c r="A163884" s="97" t="s">
        <v>138</v>
      </c>
    </row>
    <row r="163885" spans="1:1" x14ac:dyDescent="0.2">
      <c r="A163885" s="97" t="s">
        <v>139</v>
      </c>
    </row>
    <row r="163886" spans="1:1" x14ac:dyDescent="0.2">
      <c r="A163886" s="97" t="s">
        <v>140</v>
      </c>
    </row>
    <row r="163887" spans="1:1" x14ac:dyDescent="0.2">
      <c r="A163887" s="97" t="s">
        <v>141</v>
      </c>
    </row>
    <row r="163888" spans="1:1" x14ac:dyDescent="0.2">
      <c r="A163888" s="97" t="s">
        <v>142</v>
      </c>
    </row>
    <row r="163889" spans="1:1" x14ac:dyDescent="0.2">
      <c r="A163889" s="97" t="s">
        <v>143</v>
      </c>
    </row>
    <row r="163890" spans="1:1" x14ac:dyDescent="0.2">
      <c r="A163890" s="97" t="s">
        <v>144</v>
      </c>
    </row>
    <row r="163891" spans="1:1" x14ac:dyDescent="0.2">
      <c r="A163891" s="97" t="s">
        <v>145</v>
      </c>
    </row>
    <row r="163892" spans="1:1" x14ac:dyDescent="0.2">
      <c r="A163892" s="97" t="s">
        <v>146</v>
      </c>
    </row>
    <row r="163893" spans="1:1" x14ac:dyDescent="0.2">
      <c r="A163893" s="97" t="s">
        <v>147</v>
      </c>
    </row>
    <row r="163894" spans="1:1" x14ac:dyDescent="0.2">
      <c r="A163894" s="97" t="s">
        <v>148</v>
      </c>
    </row>
    <row r="163895" spans="1:1" x14ac:dyDescent="0.2">
      <c r="A163895" s="97" t="s">
        <v>149</v>
      </c>
    </row>
    <row r="163896" spans="1:1" x14ac:dyDescent="0.2">
      <c r="A163896" s="97" t="s">
        <v>150</v>
      </c>
    </row>
    <row r="163897" spans="1:1" x14ac:dyDescent="0.2">
      <c r="A163897" s="97" t="s">
        <v>151</v>
      </c>
    </row>
    <row r="163898" spans="1:1" x14ac:dyDescent="0.2">
      <c r="A163898" s="97" t="s">
        <v>152</v>
      </c>
    </row>
    <row r="163899" spans="1:1" x14ac:dyDescent="0.2">
      <c r="A163899" s="97" t="s">
        <v>153</v>
      </c>
    </row>
    <row r="163900" spans="1:1" x14ac:dyDescent="0.2">
      <c r="A163900" s="97" t="s">
        <v>154</v>
      </c>
    </row>
    <row r="163901" spans="1:1" x14ac:dyDescent="0.2">
      <c r="A163901" s="97" t="s">
        <v>155</v>
      </c>
    </row>
    <row r="163902" spans="1:1" x14ac:dyDescent="0.2">
      <c r="A163902" s="97" t="s">
        <v>156</v>
      </c>
    </row>
    <row r="163903" spans="1:1" x14ac:dyDescent="0.2">
      <c r="A163903" s="97" t="s">
        <v>157</v>
      </c>
    </row>
    <row r="163904" spans="1:1" x14ac:dyDescent="0.2">
      <c r="A163904" s="97" t="s">
        <v>158</v>
      </c>
    </row>
    <row r="163905" spans="1:1" x14ac:dyDescent="0.2">
      <c r="A163905" s="97" t="s">
        <v>159</v>
      </c>
    </row>
    <row r="163906" spans="1:1" x14ac:dyDescent="0.2">
      <c r="A163906" s="97" t="s">
        <v>160</v>
      </c>
    </row>
    <row r="163907" spans="1:1" x14ac:dyDescent="0.2">
      <c r="A163907" s="97" t="s">
        <v>161</v>
      </c>
    </row>
    <row r="163908" spans="1:1" x14ac:dyDescent="0.2">
      <c r="A163908" s="97" t="s">
        <v>162</v>
      </c>
    </row>
    <row r="163909" spans="1:1" x14ac:dyDescent="0.2">
      <c r="A163909" s="97" t="s">
        <v>163</v>
      </c>
    </row>
    <row r="163910" spans="1:1" x14ac:dyDescent="0.2">
      <c r="A163910" s="97" t="s">
        <v>164</v>
      </c>
    </row>
    <row r="163911" spans="1:1" x14ac:dyDescent="0.2">
      <c r="A163911" s="97" t="s">
        <v>165</v>
      </c>
    </row>
    <row r="163912" spans="1:1" x14ac:dyDescent="0.2">
      <c r="A163912" s="97" t="s">
        <v>166</v>
      </c>
    </row>
    <row r="163913" spans="1:1" x14ac:dyDescent="0.2">
      <c r="A163913" s="97" t="s">
        <v>167</v>
      </c>
    </row>
    <row r="163914" spans="1:1" x14ac:dyDescent="0.2">
      <c r="A163914" s="97" t="s">
        <v>168</v>
      </c>
    </row>
    <row r="163915" spans="1:1" x14ac:dyDescent="0.2">
      <c r="A163915" s="97" t="s">
        <v>169</v>
      </c>
    </row>
    <row r="163916" spans="1:1" x14ac:dyDescent="0.2">
      <c r="A163916" s="97" t="s">
        <v>170</v>
      </c>
    </row>
    <row r="163917" spans="1:1" x14ac:dyDescent="0.2">
      <c r="A163917" s="97" t="s">
        <v>171</v>
      </c>
    </row>
    <row r="163918" spans="1:1" x14ac:dyDescent="0.2">
      <c r="A163918" s="97" t="s">
        <v>172</v>
      </c>
    </row>
    <row r="163919" spans="1:1" x14ac:dyDescent="0.2">
      <c r="A163919" s="97" t="s">
        <v>173</v>
      </c>
    </row>
    <row r="163920" spans="1:1" x14ac:dyDescent="0.2">
      <c r="A163920" s="97" t="s">
        <v>174</v>
      </c>
    </row>
    <row r="163921" spans="1:1" x14ac:dyDescent="0.2">
      <c r="A163921" s="97" t="s">
        <v>175</v>
      </c>
    </row>
    <row r="163922" spans="1:1" x14ac:dyDescent="0.2">
      <c r="A163922" s="97" t="s">
        <v>176</v>
      </c>
    </row>
    <row r="163923" spans="1:1" x14ac:dyDescent="0.2">
      <c r="A163923" s="97" t="s">
        <v>177</v>
      </c>
    </row>
    <row r="163924" spans="1:1" x14ac:dyDescent="0.2">
      <c r="A163924" s="97" t="s">
        <v>178</v>
      </c>
    </row>
    <row r="163925" spans="1:1" x14ac:dyDescent="0.2">
      <c r="A163925" s="97" t="s">
        <v>179</v>
      </c>
    </row>
    <row r="163926" spans="1:1" x14ac:dyDescent="0.2">
      <c r="A163926" s="97" t="s">
        <v>180</v>
      </c>
    </row>
    <row r="163927" spans="1:1" x14ac:dyDescent="0.2">
      <c r="A163927" s="97" t="s">
        <v>181</v>
      </c>
    </row>
    <row r="163928" spans="1:1" x14ac:dyDescent="0.2">
      <c r="A163928" s="97" t="s">
        <v>182</v>
      </c>
    </row>
    <row r="163929" spans="1:1" x14ac:dyDescent="0.2">
      <c r="A163929" s="97" t="s">
        <v>183</v>
      </c>
    </row>
    <row r="180225" spans="1:1" x14ac:dyDescent="0.2">
      <c r="A180225" s="97" t="s">
        <v>95</v>
      </c>
    </row>
    <row r="180226" spans="1:1" x14ac:dyDescent="0.2">
      <c r="A180226" s="97" t="s">
        <v>96</v>
      </c>
    </row>
    <row r="180227" spans="1:1" x14ac:dyDescent="0.2">
      <c r="A180227" s="97" t="s">
        <v>97</v>
      </c>
    </row>
    <row r="180228" spans="1:1" x14ac:dyDescent="0.2">
      <c r="A180228" s="97" t="s">
        <v>98</v>
      </c>
    </row>
    <row r="180229" spans="1:1" x14ac:dyDescent="0.2">
      <c r="A180229" s="97" t="s">
        <v>99</v>
      </c>
    </row>
    <row r="180230" spans="1:1" x14ac:dyDescent="0.2">
      <c r="A180230" s="97" t="s">
        <v>100</v>
      </c>
    </row>
    <row r="180231" spans="1:1" x14ac:dyDescent="0.2">
      <c r="A180231" s="97" t="s">
        <v>101</v>
      </c>
    </row>
    <row r="180232" spans="1:1" x14ac:dyDescent="0.2">
      <c r="A180232" s="97" t="s">
        <v>102</v>
      </c>
    </row>
    <row r="180233" spans="1:1" x14ac:dyDescent="0.2">
      <c r="A180233" s="97" t="s">
        <v>103</v>
      </c>
    </row>
    <row r="180234" spans="1:1" x14ac:dyDescent="0.2">
      <c r="A180234" s="97" t="s">
        <v>104</v>
      </c>
    </row>
    <row r="180235" spans="1:1" x14ac:dyDescent="0.2">
      <c r="A180235" s="97" t="s">
        <v>105</v>
      </c>
    </row>
    <row r="180236" spans="1:1" x14ac:dyDescent="0.2">
      <c r="A180236" s="97" t="s">
        <v>106</v>
      </c>
    </row>
    <row r="180237" spans="1:1" x14ac:dyDescent="0.2">
      <c r="A180237" s="97" t="s">
        <v>107</v>
      </c>
    </row>
    <row r="180238" spans="1:1" x14ac:dyDescent="0.2">
      <c r="A180238" s="97" t="s">
        <v>108</v>
      </c>
    </row>
    <row r="180239" spans="1:1" x14ac:dyDescent="0.2">
      <c r="A180239" s="97" t="s">
        <v>109</v>
      </c>
    </row>
    <row r="180240" spans="1:1" x14ac:dyDescent="0.2">
      <c r="A180240" s="97" t="s">
        <v>110</v>
      </c>
    </row>
    <row r="180241" spans="1:1" x14ac:dyDescent="0.2">
      <c r="A180241" s="97" t="s">
        <v>111</v>
      </c>
    </row>
    <row r="180242" spans="1:1" x14ac:dyDescent="0.2">
      <c r="A180242" s="97" t="s">
        <v>112</v>
      </c>
    </row>
    <row r="180243" spans="1:1" x14ac:dyDescent="0.2">
      <c r="A180243" s="97" t="s">
        <v>113</v>
      </c>
    </row>
    <row r="180244" spans="1:1" x14ac:dyDescent="0.2">
      <c r="A180244" s="97" t="s">
        <v>114</v>
      </c>
    </row>
    <row r="180245" spans="1:1" x14ac:dyDescent="0.2">
      <c r="A180245" s="97" t="s">
        <v>115</v>
      </c>
    </row>
    <row r="180246" spans="1:1" x14ac:dyDescent="0.2">
      <c r="A180246" s="97" t="s">
        <v>116</v>
      </c>
    </row>
    <row r="180247" spans="1:1" x14ac:dyDescent="0.2">
      <c r="A180247" s="97" t="s">
        <v>117</v>
      </c>
    </row>
    <row r="180248" spans="1:1" x14ac:dyDescent="0.2">
      <c r="A180248" s="97" t="s">
        <v>118</v>
      </c>
    </row>
    <row r="180249" spans="1:1" x14ac:dyDescent="0.2">
      <c r="A180249" s="97" t="s">
        <v>119</v>
      </c>
    </row>
    <row r="180250" spans="1:1" x14ac:dyDescent="0.2">
      <c r="A180250" s="97" t="s">
        <v>120</v>
      </c>
    </row>
    <row r="180251" spans="1:1" x14ac:dyDescent="0.2">
      <c r="A180251" s="97" t="s">
        <v>121</v>
      </c>
    </row>
    <row r="180252" spans="1:1" x14ac:dyDescent="0.2">
      <c r="A180252" s="97" t="s">
        <v>122</v>
      </c>
    </row>
    <row r="180253" spans="1:1" x14ac:dyDescent="0.2">
      <c r="A180253" s="97" t="s">
        <v>123</v>
      </c>
    </row>
    <row r="180254" spans="1:1" x14ac:dyDescent="0.2">
      <c r="A180254" s="97" t="s">
        <v>124</v>
      </c>
    </row>
    <row r="180255" spans="1:1" x14ac:dyDescent="0.2">
      <c r="A180255" s="97" t="s">
        <v>125</v>
      </c>
    </row>
    <row r="180256" spans="1:1" x14ac:dyDescent="0.2">
      <c r="A180256" s="97" t="s">
        <v>126</v>
      </c>
    </row>
    <row r="180257" spans="1:1" x14ac:dyDescent="0.2">
      <c r="A180257" s="97" t="s">
        <v>127</v>
      </c>
    </row>
    <row r="180258" spans="1:1" x14ac:dyDescent="0.2">
      <c r="A180258" s="97" t="s">
        <v>128</v>
      </c>
    </row>
    <row r="180259" spans="1:1" x14ac:dyDescent="0.2">
      <c r="A180259" s="97" t="s">
        <v>129</v>
      </c>
    </row>
    <row r="180260" spans="1:1" x14ac:dyDescent="0.2">
      <c r="A180260" s="97" t="s">
        <v>130</v>
      </c>
    </row>
    <row r="180261" spans="1:1" x14ac:dyDescent="0.2">
      <c r="A180261" s="97" t="s">
        <v>131</v>
      </c>
    </row>
    <row r="180262" spans="1:1" x14ac:dyDescent="0.2">
      <c r="A180262" s="97" t="s">
        <v>132</v>
      </c>
    </row>
    <row r="180263" spans="1:1" x14ac:dyDescent="0.2">
      <c r="A180263" s="97" t="s">
        <v>133</v>
      </c>
    </row>
    <row r="180264" spans="1:1" x14ac:dyDescent="0.2">
      <c r="A180264" s="97" t="s">
        <v>134</v>
      </c>
    </row>
    <row r="180265" spans="1:1" x14ac:dyDescent="0.2">
      <c r="A180265" s="97" t="s">
        <v>135</v>
      </c>
    </row>
    <row r="180266" spans="1:1" x14ac:dyDescent="0.2">
      <c r="A180266" s="97" t="s">
        <v>136</v>
      </c>
    </row>
    <row r="180267" spans="1:1" x14ac:dyDescent="0.2">
      <c r="A180267" s="97" t="s">
        <v>137</v>
      </c>
    </row>
    <row r="180268" spans="1:1" x14ac:dyDescent="0.2">
      <c r="A180268" s="97" t="s">
        <v>138</v>
      </c>
    </row>
    <row r="180269" spans="1:1" x14ac:dyDescent="0.2">
      <c r="A180269" s="97" t="s">
        <v>139</v>
      </c>
    </row>
    <row r="180270" spans="1:1" x14ac:dyDescent="0.2">
      <c r="A180270" s="97" t="s">
        <v>140</v>
      </c>
    </row>
    <row r="180271" spans="1:1" x14ac:dyDescent="0.2">
      <c r="A180271" s="97" t="s">
        <v>141</v>
      </c>
    </row>
    <row r="180272" spans="1:1" x14ac:dyDescent="0.2">
      <c r="A180272" s="97" t="s">
        <v>142</v>
      </c>
    </row>
    <row r="180273" spans="1:1" x14ac:dyDescent="0.2">
      <c r="A180273" s="97" t="s">
        <v>143</v>
      </c>
    </row>
    <row r="180274" spans="1:1" x14ac:dyDescent="0.2">
      <c r="A180274" s="97" t="s">
        <v>144</v>
      </c>
    </row>
    <row r="180275" spans="1:1" x14ac:dyDescent="0.2">
      <c r="A180275" s="97" t="s">
        <v>145</v>
      </c>
    </row>
    <row r="180276" spans="1:1" x14ac:dyDescent="0.2">
      <c r="A180276" s="97" t="s">
        <v>146</v>
      </c>
    </row>
    <row r="180277" spans="1:1" x14ac:dyDescent="0.2">
      <c r="A180277" s="97" t="s">
        <v>147</v>
      </c>
    </row>
    <row r="180278" spans="1:1" x14ac:dyDescent="0.2">
      <c r="A180278" s="97" t="s">
        <v>148</v>
      </c>
    </row>
    <row r="180279" spans="1:1" x14ac:dyDescent="0.2">
      <c r="A180279" s="97" t="s">
        <v>149</v>
      </c>
    </row>
    <row r="180280" spans="1:1" x14ac:dyDescent="0.2">
      <c r="A180280" s="97" t="s">
        <v>150</v>
      </c>
    </row>
    <row r="180281" spans="1:1" x14ac:dyDescent="0.2">
      <c r="A180281" s="97" t="s">
        <v>151</v>
      </c>
    </row>
    <row r="180282" spans="1:1" x14ac:dyDescent="0.2">
      <c r="A180282" s="97" t="s">
        <v>152</v>
      </c>
    </row>
    <row r="180283" spans="1:1" x14ac:dyDescent="0.2">
      <c r="A180283" s="97" t="s">
        <v>153</v>
      </c>
    </row>
    <row r="180284" spans="1:1" x14ac:dyDescent="0.2">
      <c r="A180284" s="97" t="s">
        <v>154</v>
      </c>
    </row>
    <row r="180285" spans="1:1" x14ac:dyDescent="0.2">
      <c r="A180285" s="97" t="s">
        <v>155</v>
      </c>
    </row>
    <row r="180286" spans="1:1" x14ac:dyDescent="0.2">
      <c r="A180286" s="97" t="s">
        <v>156</v>
      </c>
    </row>
    <row r="180287" spans="1:1" x14ac:dyDescent="0.2">
      <c r="A180287" s="97" t="s">
        <v>157</v>
      </c>
    </row>
    <row r="180288" spans="1:1" x14ac:dyDescent="0.2">
      <c r="A180288" s="97" t="s">
        <v>158</v>
      </c>
    </row>
    <row r="180289" spans="1:1" x14ac:dyDescent="0.2">
      <c r="A180289" s="97" t="s">
        <v>159</v>
      </c>
    </row>
    <row r="180290" spans="1:1" x14ac:dyDescent="0.2">
      <c r="A180290" s="97" t="s">
        <v>160</v>
      </c>
    </row>
    <row r="180291" spans="1:1" x14ac:dyDescent="0.2">
      <c r="A180291" s="97" t="s">
        <v>161</v>
      </c>
    </row>
    <row r="180292" spans="1:1" x14ac:dyDescent="0.2">
      <c r="A180292" s="97" t="s">
        <v>162</v>
      </c>
    </row>
    <row r="180293" spans="1:1" x14ac:dyDescent="0.2">
      <c r="A180293" s="97" t="s">
        <v>163</v>
      </c>
    </row>
    <row r="180294" spans="1:1" x14ac:dyDescent="0.2">
      <c r="A180294" s="97" t="s">
        <v>164</v>
      </c>
    </row>
    <row r="180295" spans="1:1" x14ac:dyDescent="0.2">
      <c r="A180295" s="97" t="s">
        <v>165</v>
      </c>
    </row>
    <row r="180296" spans="1:1" x14ac:dyDescent="0.2">
      <c r="A180296" s="97" t="s">
        <v>166</v>
      </c>
    </row>
    <row r="180297" spans="1:1" x14ac:dyDescent="0.2">
      <c r="A180297" s="97" t="s">
        <v>167</v>
      </c>
    </row>
    <row r="180298" spans="1:1" x14ac:dyDescent="0.2">
      <c r="A180298" s="97" t="s">
        <v>168</v>
      </c>
    </row>
    <row r="180299" spans="1:1" x14ac:dyDescent="0.2">
      <c r="A180299" s="97" t="s">
        <v>169</v>
      </c>
    </row>
    <row r="180300" spans="1:1" x14ac:dyDescent="0.2">
      <c r="A180300" s="97" t="s">
        <v>170</v>
      </c>
    </row>
    <row r="180301" spans="1:1" x14ac:dyDescent="0.2">
      <c r="A180301" s="97" t="s">
        <v>171</v>
      </c>
    </row>
    <row r="180302" spans="1:1" x14ac:dyDescent="0.2">
      <c r="A180302" s="97" t="s">
        <v>172</v>
      </c>
    </row>
    <row r="180303" spans="1:1" x14ac:dyDescent="0.2">
      <c r="A180303" s="97" t="s">
        <v>173</v>
      </c>
    </row>
    <row r="180304" spans="1:1" x14ac:dyDescent="0.2">
      <c r="A180304" s="97" t="s">
        <v>174</v>
      </c>
    </row>
    <row r="180305" spans="1:1" x14ac:dyDescent="0.2">
      <c r="A180305" s="97" t="s">
        <v>175</v>
      </c>
    </row>
    <row r="180306" spans="1:1" x14ac:dyDescent="0.2">
      <c r="A180306" s="97" t="s">
        <v>176</v>
      </c>
    </row>
    <row r="180307" spans="1:1" x14ac:dyDescent="0.2">
      <c r="A180307" s="97" t="s">
        <v>177</v>
      </c>
    </row>
    <row r="180308" spans="1:1" x14ac:dyDescent="0.2">
      <c r="A180308" s="97" t="s">
        <v>178</v>
      </c>
    </row>
    <row r="180309" spans="1:1" x14ac:dyDescent="0.2">
      <c r="A180309" s="97" t="s">
        <v>179</v>
      </c>
    </row>
    <row r="180310" spans="1:1" x14ac:dyDescent="0.2">
      <c r="A180310" s="97" t="s">
        <v>180</v>
      </c>
    </row>
    <row r="180311" spans="1:1" x14ac:dyDescent="0.2">
      <c r="A180311" s="97" t="s">
        <v>181</v>
      </c>
    </row>
    <row r="180312" spans="1:1" x14ac:dyDescent="0.2">
      <c r="A180312" s="97" t="s">
        <v>182</v>
      </c>
    </row>
    <row r="180313" spans="1:1" x14ac:dyDescent="0.2">
      <c r="A180313" s="97" t="s">
        <v>183</v>
      </c>
    </row>
    <row r="196609" spans="1:1" x14ac:dyDescent="0.2">
      <c r="A196609" s="97" t="s">
        <v>95</v>
      </c>
    </row>
    <row r="196610" spans="1:1" x14ac:dyDescent="0.2">
      <c r="A196610" s="97" t="s">
        <v>96</v>
      </c>
    </row>
    <row r="196611" spans="1:1" x14ac:dyDescent="0.2">
      <c r="A196611" s="97" t="s">
        <v>97</v>
      </c>
    </row>
    <row r="196612" spans="1:1" x14ac:dyDescent="0.2">
      <c r="A196612" s="97" t="s">
        <v>98</v>
      </c>
    </row>
    <row r="196613" spans="1:1" x14ac:dyDescent="0.2">
      <c r="A196613" s="97" t="s">
        <v>99</v>
      </c>
    </row>
    <row r="196614" spans="1:1" x14ac:dyDescent="0.2">
      <c r="A196614" s="97" t="s">
        <v>100</v>
      </c>
    </row>
    <row r="196615" spans="1:1" x14ac:dyDescent="0.2">
      <c r="A196615" s="97" t="s">
        <v>101</v>
      </c>
    </row>
    <row r="196616" spans="1:1" x14ac:dyDescent="0.2">
      <c r="A196616" s="97" t="s">
        <v>102</v>
      </c>
    </row>
    <row r="196617" spans="1:1" x14ac:dyDescent="0.2">
      <c r="A196617" s="97" t="s">
        <v>103</v>
      </c>
    </row>
    <row r="196618" spans="1:1" x14ac:dyDescent="0.2">
      <c r="A196618" s="97" t="s">
        <v>104</v>
      </c>
    </row>
    <row r="196619" spans="1:1" x14ac:dyDescent="0.2">
      <c r="A196619" s="97" t="s">
        <v>105</v>
      </c>
    </row>
    <row r="196620" spans="1:1" x14ac:dyDescent="0.2">
      <c r="A196620" s="97" t="s">
        <v>106</v>
      </c>
    </row>
    <row r="196621" spans="1:1" x14ac:dyDescent="0.2">
      <c r="A196621" s="97" t="s">
        <v>107</v>
      </c>
    </row>
    <row r="196622" spans="1:1" x14ac:dyDescent="0.2">
      <c r="A196622" s="97" t="s">
        <v>108</v>
      </c>
    </row>
    <row r="196623" spans="1:1" x14ac:dyDescent="0.2">
      <c r="A196623" s="97" t="s">
        <v>109</v>
      </c>
    </row>
    <row r="196624" spans="1:1" x14ac:dyDescent="0.2">
      <c r="A196624" s="97" t="s">
        <v>110</v>
      </c>
    </row>
    <row r="196625" spans="1:1" x14ac:dyDescent="0.2">
      <c r="A196625" s="97" t="s">
        <v>111</v>
      </c>
    </row>
    <row r="196626" spans="1:1" x14ac:dyDescent="0.2">
      <c r="A196626" s="97" t="s">
        <v>112</v>
      </c>
    </row>
    <row r="196627" spans="1:1" x14ac:dyDescent="0.2">
      <c r="A196627" s="97" t="s">
        <v>113</v>
      </c>
    </row>
    <row r="196628" spans="1:1" x14ac:dyDescent="0.2">
      <c r="A196628" s="97" t="s">
        <v>114</v>
      </c>
    </row>
    <row r="196629" spans="1:1" x14ac:dyDescent="0.2">
      <c r="A196629" s="97" t="s">
        <v>115</v>
      </c>
    </row>
    <row r="196630" spans="1:1" x14ac:dyDescent="0.2">
      <c r="A196630" s="97" t="s">
        <v>116</v>
      </c>
    </row>
    <row r="196631" spans="1:1" x14ac:dyDescent="0.2">
      <c r="A196631" s="97" t="s">
        <v>117</v>
      </c>
    </row>
    <row r="196632" spans="1:1" x14ac:dyDescent="0.2">
      <c r="A196632" s="97" t="s">
        <v>118</v>
      </c>
    </row>
    <row r="196633" spans="1:1" x14ac:dyDescent="0.2">
      <c r="A196633" s="97" t="s">
        <v>119</v>
      </c>
    </row>
    <row r="196634" spans="1:1" x14ac:dyDescent="0.2">
      <c r="A196634" s="97" t="s">
        <v>120</v>
      </c>
    </row>
    <row r="196635" spans="1:1" x14ac:dyDescent="0.2">
      <c r="A196635" s="97" t="s">
        <v>121</v>
      </c>
    </row>
    <row r="196636" spans="1:1" x14ac:dyDescent="0.2">
      <c r="A196636" s="97" t="s">
        <v>122</v>
      </c>
    </row>
    <row r="196637" spans="1:1" x14ac:dyDescent="0.2">
      <c r="A196637" s="97" t="s">
        <v>123</v>
      </c>
    </row>
    <row r="196638" spans="1:1" x14ac:dyDescent="0.2">
      <c r="A196638" s="97" t="s">
        <v>124</v>
      </c>
    </row>
    <row r="196639" spans="1:1" x14ac:dyDescent="0.2">
      <c r="A196639" s="97" t="s">
        <v>125</v>
      </c>
    </row>
    <row r="196640" spans="1:1" x14ac:dyDescent="0.2">
      <c r="A196640" s="97" t="s">
        <v>126</v>
      </c>
    </row>
    <row r="196641" spans="1:1" x14ac:dyDescent="0.2">
      <c r="A196641" s="97" t="s">
        <v>127</v>
      </c>
    </row>
    <row r="196642" spans="1:1" x14ac:dyDescent="0.2">
      <c r="A196642" s="97" t="s">
        <v>128</v>
      </c>
    </row>
    <row r="196643" spans="1:1" x14ac:dyDescent="0.2">
      <c r="A196643" s="97" t="s">
        <v>129</v>
      </c>
    </row>
    <row r="196644" spans="1:1" x14ac:dyDescent="0.2">
      <c r="A196644" s="97" t="s">
        <v>130</v>
      </c>
    </row>
    <row r="196645" spans="1:1" x14ac:dyDescent="0.2">
      <c r="A196645" s="97" t="s">
        <v>131</v>
      </c>
    </row>
    <row r="196646" spans="1:1" x14ac:dyDescent="0.2">
      <c r="A196646" s="97" t="s">
        <v>132</v>
      </c>
    </row>
    <row r="196647" spans="1:1" x14ac:dyDescent="0.2">
      <c r="A196647" s="97" t="s">
        <v>133</v>
      </c>
    </row>
    <row r="196648" spans="1:1" x14ac:dyDescent="0.2">
      <c r="A196648" s="97" t="s">
        <v>134</v>
      </c>
    </row>
    <row r="196649" spans="1:1" x14ac:dyDescent="0.2">
      <c r="A196649" s="97" t="s">
        <v>135</v>
      </c>
    </row>
    <row r="196650" spans="1:1" x14ac:dyDescent="0.2">
      <c r="A196650" s="97" t="s">
        <v>136</v>
      </c>
    </row>
    <row r="196651" spans="1:1" x14ac:dyDescent="0.2">
      <c r="A196651" s="97" t="s">
        <v>137</v>
      </c>
    </row>
    <row r="196652" spans="1:1" x14ac:dyDescent="0.2">
      <c r="A196652" s="97" t="s">
        <v>138</v>
      </c>
    </row>
    <row r="196653" spans="1:1" x14ac:dyDescent="0.2">
      <c r="A196653" s="97" t="s">
        <v>139</v>
      </c>
    </row>
    <row r="196654" spans="1:1" x14ac:dyDescent="0.2">
      <c r="A196654" s="97" t="s">
        <v>140</v>
      </c>
    </row>
    <row r="196655" spans="1:1" x14ac:dyDescent="0.2">
      <c r="A196655" s="97" t="s">
        <v>141</v>
      </c>
    </row>
    <row r="196656" spans="1:1" x14ac:dyDescent="0.2">
      <c r="A196656" s="97" t="s">
        <v>142</v>
      </c>
    </row>
    <row r="196657" spans="1:1" x14ac:dyDescent="0.2">
      <c r="A196657" s="97" t="s">
        <v>143</v>
      </c>
    </row>
    <row r="196658" spans="1:1" x14ac:dyDescent="0.2">
      <c r="A196658" s="97" t="s">
        <v>144</v>
      </c>
    </row>
    <row r="196659" spans="1:1" x14ac:dyDescent="0.2">
      <c r="A196659" s="97" t="s">
        <v>145</v>
      </c>
    </row>
    <row r="196660" spans="1:1" x14ac:dyDescent="0.2">
      <c r="A196660" s="97" t="s">
        <v>146</v>
      </c>
    </row>
    <row r="196661" spans="1:1" x14ac:dyDescent="0.2">
      <c r="A196661" s="97" t="s">
        <v>147</v>
      </c>
    </row>
    <row r="196662" spans="1:1" x14ac:dyDescent="0.2">
      <c r="A196662" s="97" t="s">
        <v>148</v>
      </c>
    </row>
    <row r="196663" spans="1:1" x14ac:dyDescent="0.2">
      <c r="A196663" s="97" t="s">
        <v>149</v>
      </c>
    </row>
    <row r="196664" spans="1:1" x14ac:dyDescent="0.2">
      <c r="A196664" s="97" t="s">
        <v>150</v>
      </c>
    </row>
    <row r="196665" spans="1:1" x14ac:dyDescent="0.2">
      <c r="A196665" s="97" t="s">
        <v>151</v>
      </c>
    </row>
    <row r="196666" spans="1:1" x14ac:dyDescent="0.2">
      <c r="A196666" s="97" t="s">
        <v>152</v>
      </c>
    </row>
    <row r="196667" spans="1:1" x14ac:dyDescent="0.2">
      <c r="A196667" s="97" t="s">
        <v>153</v>
      </c>
    </row>
    <row r="196668" spans="1:1" x14ac:dyDescent="0.2">
      <c r="A196668" s="97" t="s">
        <v>154</v>
      </c>
    </row>
    <row r="196669" spans="1:1" x14ac:dyDescent="0.2">
      <c r="A196669" s="97" t="s">
        <v>155</v>
      </c>
    </row>
    <row r="196670" spans="1:1" x14ac:dyDescent="0.2">
      <c r="A196670" s="97" t="s">
        <v>156</v>
      </c>
    </row>
    <row r="196671" spans="1:1" x14ac:dyDescent="0.2">
      <c r="A196671" s="97" t="s">
        <v>157</v>
      </c>
    </row>
    <row r="196672" spans="1:1" x14ac:dyDescent="0.2">
      <c r="A196672" s="97" t="s">
        <v>158</v>
      </c>
    </row>
    <row r="196673" spans="1:1" x14ac:dyDescent="0.2">
      <c r="A196673" s="97" t="s">
        <v>159</v>
      </c>
    </row>
    <row r="196674" spans="1:1" x14ac:dyDescent="0.2">
      <c r="A196674" s="97" t="s">
        <v>160</v>
      </c>
    </row>
    <row r="196675" spans="1:1" x14ac:dyDescent="0.2">
      <c r="A196675" s="97" t="s">
        <v>161</v>
      </c>
    </row>
    <row r="196676" spans="1:1" x14ac:dyDescent="0.2">
      <c r="A196676" s="97" t="s">
        <v>162</v>
      </c>
    </row>
    <row r="196677" spans="1:1" x14ac:dyDescent="0.2">
      <c r="A196677" s="97" t="s">
        <v>163</v>
      </c>
    </row>
    <row r="196678" spans="1:1" x14ac:dyDescent="0.2">
      <c r="A196678" s="97" t="s">
        <v>164</v>
      </c>
    </row>
    <row r="196679" spans="1:1" x14ac:dyDescent="0.2">
      <c r="A196679" s="97" t="s">
        <v>165</v>
      </c>
    </row>
    <row r="196680" spans="1:1" x14ac:dyDescent="0.2">
      <c r="A196680" s="97" t="s">
        <v>166</v>
      </c>
    </row>
    <row r="196681" spans="1:1" x14ac:dyDescent="0.2">
      <c r="A196681" s="97" t="s">
        <v>167</v>
      </c>
    </row>
    <row r="196682" spans="1:1" x14ac:dyDescent="0.2">
      <c r="A196682" s="97" t="s">
        <v>168</v>
      </c>
    </row>
    <row r="196683" spans="1:1" x14ac:dyDescent="0.2">
      <c r="A196683" s="97" t="s">
        <v>169</v>
      </c>
    </row>
    <row r="196684" spans="1:1" x14ac:dyDescent="0.2">
      <c r="A196684" s="97" t="s">
        <v>170</v>
      </c>
    </row>
    <row r="196685" spans="1:1" x14ac:dyDescent="0.2">
      <c r="A196685" s="97" t="s">
        <v>171</v>
      </c>
    </row>
    <row r="196686" spans="1:1" x14ac:dyDescent="0.2">
      <c r="A196686" s="97" t="s">
        <v>172</v>
      </c>
    </row>
    <row r="196687" spans="1:1" x14ac:dyDescent="0.2">
      <c r="A196687" s="97" t="s">
        <v>173</v>
      </c>
    </row>
    <row r="196688" spans="1:1" x14ac:dyDescent="0.2">
      <c r="A196688" s="97" t="s">
        <v>174</v>
      </c>
    </row>
    <row r="196689" spans="1:1" x14ac:dyDescent="0.2">
      <c r="A196689" s="97" t="s">
        <v>175</v>
      </c>
    </row>
    <row r="196690" spans="1:1" x14ac:dyDescent="0.2">
      <c r="A196690" s="97" t="s">
        <v>176</v>
      </c>
    </row>
    <row r="196691" spans="1:1" x14ac:dyDescent="0.2">
      <c r="A196691" s="97" t="s">
        <v>177</v>
      </c>
    </row>
    <row r="196692" spans="1:1" x14ac:dyDescent="0.2">
      <c r="A196692" s="97" t="s">
        <v>178</v>
      </c>
    </row>
    <row r="196693" spans="1:1" x14ac:dyDescent="0.2">
      <c r="A196693" s="97" t="s">
        <v>179</v>
      </c>
    </row>
    <row r="196694" spans="1:1" x14ac:dyDescent="0.2">
      <c r="A196694" s="97" t="s">
        <v>180</v>
      </c>
    </row>
    <row r="196695" spans="1:1" x14ac:dyDescent="0.2">
      <c r="A196695" s="97" t="s">
        <v>181</v>
      </c>
    </row>
    <row r="196696" spans="1:1" x14ac:dyDescent="0.2">
      <c r="A196696" s="97" t="s">
        <v>182</v>
      </c>
    </row>
    <row r="196697" spans="1:1" x14ac:dyDescent="0.2">
      <c r="A196697" s="97" t="s">
        <v>183</v>
      </c>
    </row>
    <row r="212993" spans="1:1" x14ac:dyDescent="0.2">
      <c r="A212993" s="97" t="s">
        <v>95</v>
      </c>
    </row>
    <row r="212994" spans="1:1" x14ac:dyDescent="0.2">
      <c r="A212994" s="97" t="s">
        <v>96</v>
      </c>
    </row>
    <row r="212995" spans="1:1" x14ac:dyDescent="0.2">
      <c r="A212995" s="97" t="s">
        <v>97</v>
      </c>
    </row>
    <row r="212996" spans="1:1" x14ac:dyDescent="0.2">
      <c r="A212996" s="97" t="s">
        <v>98</v>
      </c>
    </row>
    <row r="212997" spans="1:1" x14ac:dyDescent="0.2">
      <c r="A212997" s="97" t="s">
        <v>99</v>
      </c>
    </row>
    <row r="212998" spans="1:1" x14ac:dyDescent="0.2">
      <c r="A212998" s="97" t="s">
        <v>100</v>
      </c>
    </row>
    <row r="212999" spans="1:1" x14ac:dyDescent="0.2">
      <c r="A212999" s="97" t="s">
        <v>101</v>
      </c>
    </row>
    <row r="213000" spans="1:1" x14ac:dyDescent="0.2">
      <c r="A213000" s="97" t="s">
        <v>102</v>
      </c>
    </row>
    <row r="213001" spans="1:1" x14ac:dyDescent="0.2">
      <c r="A213001" s="97" t="s">
        <v>103</v>
      </c>
    </row>
    <row r="213002" spans="1:1" x14ac:dyDescent="0.2">
      <c r="A213002" s="97" t="s">
        <v>104</v>
      </c>
    </row>
    <row r="213003" spans="1:1" x14ac:dyDescent="0.2">
      <c r="A213003" s="97" t="s">
        <v>105</v>
      </c>
    </row>
    <row r="213004" spans="1:1" x14ac:dyDescent="0.2">
      <c r="A213004" s="97" t="s">
        <v>106</v>
      </c>
    </row>
    <row r="213005" spans="1:1" x14ac:dyDescent="0.2">
      <c r="A213005" s="97" t="s">
        <v>107</v>
      </c>
    </row>
    <row r="213006" spans="1:1" x14ac:dyDescent="0.2">
      <c r="A213006" s="97" t="s">
        <v>108</v>
      </c>
    </row>
    <row r="213007" spans="1:1" x14ac:dyDescent="0.2">
      <c r="A213007" s="97" t="s">
        <v>109</v>
      </c>
    </row>
    <row r="213008" spans="1:1" x14ac:dyDescent="0.2">
      <c r="A213008" s="97" t="s">
        <v>110</v>
      </c>
    </row>
    <row r="213009" spans="1:1" x14ac:dyDescent="0.2">
      <c r="A213009" s="97" t="s">
        <v>111</v>
      </c>
    </row>
    <row r="213010" spans="1:1" x14ac:dyDescent="0.2">
      <c r="A213010" s="97" t="s">
        <v>112</v>
      </c>
    </row>
    <row r="213011" spans="1:1" x14ac:dyDescent="0.2">
      <c r="A213011" s="97" t="s">
        <v>113</v>
      </c>
    </row>
    <row r="213012" spans="1:1" x14ac:dyDescent="0.2">
      <c r="A213012" s="97" t="s">
        <v>114</v>
      </c>
    </row>
    <row r="213013" spans="1:1" x14ac:dyDescent="0.2">
      <c r="A213013" s="97" t="s">
        <v>115</v>
      </c>
    </row>
    <row r="213014" spans="1:1" x14ac:dyDescent="0.2">
      <c r="A213014" s="97" t="s">
        <v>116</v>
      </c>
    </row>
    <row r="213015" spans="1:1" x14ac:dyDescent="0.2">
      <c r="A213015" s="97" t="s">
        <v>117</v>
      </c>
    </row>
    <row r="213016" spans="1:1" x14ac:dyDescent="0.2">
      <c r="A213016" s="97" t="s">
        <v>118</v>
      </c>
    </row>
    <row r="213017" spans="1:1" x14ac:dyDescent="0.2">
      <c r="A213017" s="97" t="s">
        <v>119</v>
      </c>
    </row>
    <row r="213018" spans="1:1" x14ac:dyDescent="0.2">
      <c r="A213018" s="97" t="s">
        <v>120</v>
      </c>
    </row>
    <row r="213019" spans="1:1" x14ac:dyDescent="0.2">
      <c r="A213019" s="97" t="s">
        <v>121</v>
      </c>
    </row>
    <row r="213020" spans="1:1" x14ac:dyDescent="0.2">
      <c r="A213020" s="97" t="s">
        <v>122</v>
      </c>
    </row>
    <row r="213021" spans="1:1" x14ac:dyDescent="0.2">
      <c r="A213021" s="97" t="s">
        <v>123</v>
      </c>
    </row>
    <row r="213022" spans="1:1" x14ac:dyDescent="0.2">
      <c r="A213022" s="97" t="s">
        <v>124</v>
      </c>
    </row>
    <row r="213023" spans="1:1" x14ac:dyDescent="0.2">
      <c r="A213023" s="97" t="s">
        <v>125</v>
      </c>
    </row>
    <row r="213024" spans="1:1" x14ac:dyDescent="0.2">
      <c r="A213024" s="97" t="s">
        <v>126</v>
      </c>
    </row>
    <row r="213025" spans="1:1" x14ac:dyDescent="0.2">
      <c r="A213025" s="97" t="s">
        <v>127</v>
      </c>
    </row>
    <row r="213026" spans="1:1" x14ac:dyDescent="0.2">
      <c r="A213026" s="97" t="s">
        <v>128</v>
      </c>
    </row>
    <row r="213027" spans="1:1" x14ac:dyDescent="0.2">
      <c r="A213027" s="97" t="s">
        <v>129</v>
      </c>
    </row>
    <row r="213028" spans="1:1" x14ac:dyDescent="0.2">
      <c r="A213028" s="97" t="s">
        <v>130</v>
      </c>
    </row>
    <row r="213029" spans="1:1" x14ac:dyDescent="0.2">
      <c r="A213029" s="97" t="s">
        <v>131</v>
      </c>
    </row>
    <row r="213030" spans="1:1" x14ac:dyDescent="0.2">
      <c r="A213030" s="97" t="s">
        <v>132</v>
      </c>
    </row>
    <row r="213031" spans="1:1" x14ac:dyDescent="0.2">
      <c r="A213031" s="97" t="s">
        <v>133</v>
      </c>
    </row>
    <row r="213032" spans="1:1" x14ac:dyDescent="0.2">
      <c r="A213032" s="97" t="s">
        <v>134</v>
      </c>
    </row>
    <row r="213033" spans="1:1" x14ac:dyDescent="0.2">
      <c r="A213033" s="97" t="s">
        <v>135</v>
      </c>
    </row>
    <row r="213034" spans="1:1" x14ac:dyDescent="0.2">
      <c r="A213034" s="97" t="s">
        <v>136</v>
      </c>
    </row>
    <row r="213035" spans="1:1" x14ac:dyDescent="0.2">
      <c r="A213035" s="97" t="s">
        <v>137</v>
      </c>
    </row>
    <row r="213036" spans="1:1" x14ac:dyDescent="0.2">
      <c r="A213036" s="97" t="s">
        <v>138</v>
      </c>
    </row>
    <row r="213037" spans="1:1" x14ac:dyDescent="0.2">
      <c r="A213037" s="97" t="s">
        <v>139</v>
      </c>
    </row>
    <row r="213038" spans="1:1" x14ac:dyDescent="0.2">
      <c r="A213038" s="97" t="s">
        <v>140</v>
      </c>
    </row>
    <row r="213039" spans="1:1" x14ac:dyDescent="0.2">
      <c r="A213039" s="97" t="s">
        <v>141</v>
      </c>
    </row>
    <row r="213040" spans="1:1" x14ac:dyDescent="0.2">
      <c r="A213040" s="97" t="s">
        <v>142</v>
      </c>
    </row>
    <row r="213041" spans="1:1" x14ac:dyDescent="0.2">
      <c r="A213041" s="97" t="s">
        <v>143</v>
      </c>
    </row>
    <row r="213042" spans="1:1" x14ac:dyDescent="0.2">
      <c r="A213042" s="97" t="s">
        <v>144</v>
      </c>
    </row>
    <row r="213043" spans="1:1" x14ac:dyDescent="0.2">
      <c r="A213043" s="97" t="s">
        <v>145</v>
      </c>
    </row>
    <row r="213044" spans="1:1" x14ac:dyDescent="0.2">
      <c r="A213044" s="97" t="s">
        <v>146</v>
      </c>
    </row>
    <row r="213045" spans="1:1" x14ac:dyDescent="0.2">
      <c r="A213045" s="97" t="s">
        <v>147</v>
      </c>
    </row>
    <row r="213046" spans="1:1" x14ac:dyDescent="0.2">
      <c r="A213046" s="97" t="s">
        <v>148</v>
      </c>
    </row>
    <row r="213047" spans="1:1" x14ac:dyDescent="0.2">
      <c r="A213047" s="97" t="s">
        <v>149</v>
      </c>
    </row>
    <row r="213048" spans="1:1" x14ac:dyDescent="0.2">
      <c r="A213048" s="97" t="s">
        <v>150</v>
      </c>
    </row>
    <row r="213049" spans="1:1" x14ac:dyDescent="0.2">
      <c r="A213049" s="97" t="s">
        <v>151</v>
      </c>
    </row>
    <row r="213050" spans="1:1" x14ac:dyDescent="0.2">
      <c r="A213050" s="97" t="s">
        <v>152</v>
      </c>
    </row>
    <row r="213051" spans="1:1" x14ac:dyDescent="0.2">
      <c r="A213051" s="97" t="s">
        <v>153</v>
      </c>
    </row>
    <row r="213052" spans="1:1" x14ac:dyDescent="0.2">
      <c r="A213052" s="97" t="s">
        <v>154</v>
      </c>
    </row>
    <row r="213053" spans="1:1" x14ac:dyDescent="0.2">
      <c r="A213053" s="97" t="s">
        <v>155</v>
      </c>
    </row>
    <row r="213054" spans="1:1" x14ac:dyDescent="0.2">
      <c r="A213054" s="97" t="s">
        <v>156</v>
      </c>
    </row>
    <row r="213055" spans="1:1" x14ac:dyDescent="0.2">
      <c r="A213055" s="97" t="s">
        <v>157</v>
      </c>
    </row>
    <row r="213056" spans="1:1" x14ac:dyDescent="0.2">
      <c r="A213056" s="97" t="s">
        <v>158</v>
      </c>
    </row>
    <row r="213057" spans="1:1" x14ac:dyDescent="0.2">
      <c r="A213057" s="97" t="s">
        <v>159</v>
      </c>
    </row>
    <row r="213058" spans="1:1" x14ac:dyDescent="0.2">
      <c r="A213058" s="97" t="s">
        <v>160</v>
      </c>
    </row>
    <row r="213059" spans="1:1" x14ac:dyDescent="0.2">
      <c r="A213059" s="97" t="s">
        <v>161</v>
      </c>
    </row>
    <row r="213060" spans="1:1" x14ac:dyDescent="0.2">
      <c r="A213060" s="97" t="s">
        <v>162</v>
      </c>
    </row>
    <row r="213061" spans="1:1" x14ac:dyDescent="0.2">
      <c r="A213061" s="97" t="s">
        <v>163</v>
      </c>
    </row>
    <row r="213062" spans="1:1" x14ac:dyDescent="0.2">
      <c r="A213062" s="97" t="s">
        <v>164</v>
      </c>
    </row>
    <row r="213063" spans="1:1" x14ac:dyDescent="0.2">
      <c r="A213063" s="97" t="s">
        <v>165</v>
      </c>
    </row>
    <row r="213064" spans="1:1" x14ac:dyDescent="0.2">
      <c r="A213064" s="97" t="s">
        <v>166</v>
      </c>
    </row>
    <row r="213065" spans="1:1" x14ac:dyDescent="0.2">
      <c r="A213065" s="97" t="s">
        <v>167</v>
      </c>
    </row>
    <row r="213066" spans="1:1" x14ac:dyDescent="0.2">
      <c r="A213066" s="97" t="s">
        <v>168</v>
      </c>
    </row>
    <row r="213067" spans="1:1" x14ac:dyDescent="0.2">
      <c r="A213067" s="97" t="s">
        <v>169</v>
      </c>
    </row>
    <row r="213068" spans="1:1" x14ac:dyDescent="0.2">
      <c r="A213068" s="97" t="s">
        <v>170</v>
      </c>
    </row>
    <row r="213069" spans="1:1" x14ac:dyDescent="0.2">
      <c r="A213069" s="97" t="s">
        <v>171</v>
      </c>
    </row>
    <row r="213070" spans="1:1" x14ac:dyDescent="0.2">
      <c r="A213070" s="97" t="s">
        <v>172</v>
      </c>
    </row>
    <row r="213071" spans="1:1" x14ac:dyDescent="0.2">
      <c r="A213071" s="97" t="s">
        <v>173</v>
      </c>
    </row>
    <row r="213072" spans="1:1" x14ac:dyDescent="0.2">
      <c r="A213072" s="97" t="s">
        <v>174</v>
      </c>
    </row>
    <row r="213073" spans="1:1" x14ac:dyDescent="0.2">
      <c r="A213073" s="97" t="s">
        <v>175</v>
      </c>
    </row>
    <row r="213074" spans="1:1" x14ac:dyDescent="0.2">
      <c r="A213074" s="97" t="s">
        <v>176</v>
      </c>
    </row>
    <row r="213075" spans="1:1" x14ac:dyDescent="0.2">
      <c r="A213075" s="97" t="s">
        <v>177</v>
      </c>
    </row>
    <row r="213076" spans="1:1" x14ac:dyDescent="0.2">
      <c r="A213076" s="97" t="s">
        <v>178</v>
      </c>
    </row>
    <row r="213077" spans="1:1" x14ac:dyDescent="0.2">
      <c r="A213077" s="97" t="s">
        <v>179</v>
      </c>
    </row>
    <row r="213078" spans="1:1" x14ac:dyDescent="0.2">
      <c r="A213078" s="97" t="s">
        <v>180</v>
      </c>
    </row>
    <row r="213079" spans="1:1" x14ac:dyDescent="0.2">
      <c r="A213079" s="97" t="s">
        <v>181</v>
      </c>
    </row>
    <row r="213080" spans="1:1" x14ac:dyDescent="0.2">
      <c r="A213080" s="97" t="s">
        <v>182</v>
      </c>
    </row>
    <row r="213081" spans="1:1" x14ac:dyDescent="0.2">
      <c r="A213081" s="97" t="s">
        <v>183</v>
      </c>
    </row>
    <row r="229377" spans="1:1" x14ac:dyDescent="0.2">
      <c r="A229377" s="97" t="s">
        <v>95</v>
      </c>
    </row>
    <row r="229378" spans="1:1" x14ac:dyDescent="0.2">
      <c r="A229378" s="97" t="s">
        <v>96</v>
      </c>
    </row>
    <row r="229379" spans="1:1" x14ac:dyDescent="0.2">
      <c r="A229379" s="97" t="s">
        <v>97</v>
      </c>
    </row>
    <row r="229380" spans="1:1" x14ac:dyDescent="0.2">
      <c r="A229380" s="97" t="s">
        <v>98</v>
      </c>
    </row>
    <row r="229381" spans="1:1" x14ac:dyDescent="0.2">
      <c r="A229381" s="97" t="s">
        <v>99</v>
      </c>
    </row>
    <row r="229382" spans="1:1" x14ac:dyDescent="0.2">
      <c r="A229382" s="97" t="s">
        <v>100</v>
      </c>
    </row>
    <row r="229383" spans="1:1" x14ac:dyDescent="0.2">
      <c r="A229383" s="97" t="s">
        <v>101</v>
      </c>
    </row>
    <row r="229384" spans="1:1" x14ac:dyDescent="0.2">
      <c r="A229384" s="97" t="s">
        <v>102</v>
      </c>
    </row>
    <row r="229385" spans="1:1" x14ac:dyDescent="0.2">
      <c r="A229385" s="97" t="s">
        <v>103</v>
      </c>
    </row>
    <row r="229386" spans="1:1" x14ac:dyDescent="0.2">
      <c r="A229386" s="97" t="s">
        <v>104</v>
      </c>
    </row>
    <row r="229387" spans="1:1" x14ac:dyDescent="0.2">
      <c r="A229387" s="97" t="s">
        <v>105</v>
      </c>
    </row>
    <row r="229388" spans="1:1" x14ac:dyDescent="0.2">
      <c r="A229388" s="97" t="s">
        <v>106</v>
      </c>
    </row>
    <row r="229389" spans="1:1" x14ac:dyDescent="0.2">
      <c r="A229389" s="97" t="s">
        <v>107</v>
      </c>
    </row>
    <row r="229390" spans="1:1" x14ac:dyDescent="0.2">
      <c r="A229390" s="97" t="s">
        <v>108</v>
      </c>
    </row>
    <row r="229391" spans="1:1" x14ac:dyDescent="0.2">
      <c r="A229391" s="97" t="s">
        <v>109</v>
      </c>
    </row>
    <row r="229392" spans="1:1" x14ac:dyDescent="0.2">
      <c r="A229392" s="97" t="s">
        <v>110</v>
      </c>
    </row>
    <row r="229393" spans="1:1" x14ac:dyDescent="0.2">
      <c r="A229393" s="97" t="s">
        <v>111</v>
      </c>
    </row>
    <row r="229394" spans="1:1" x14ac:dyDescent="0.2">
      <c r="A229394" s="97" t="s">
        <v>112</v>
      </c>
    </row>
    <row r="229395" spans="1:1" x14ac:dyDescent="0.2">
      <c r="A229395" s="97" t="s">
        <v>113</v>
      </c>
    </row>
    <row r="229396" spans="1:1" x14ac:dyDescent="0.2">
      <c r="A229396" s="97" t="s">
        <v>114</v>
      </c>
    </row>
    <row r="229397" spans="1:1" x14ac:dyDescent="0.2">
      <c r="A229397" s="97" t="s">
        <v>115</v>
      </c>
    </row>
    <row r="229398" spans="1:1" x14ac:dyDescent="0.2">
      <c r="A229398" s="97" t="s">
        <v>116</v>
      </c>
    </row>
    <row r="229399" spans="1:1" x14ac:dyDescent="0.2">
      <c r="A229399" s="97" t="s">
        <v>117</v>
      </c>
    </row>
    <row r="229400" spans="1:1" x14ac:dyDescent="0.2">
      <c r="A229400" s="97" t="s">
        <v>118</v>
      </c>
    </row>
    <row r="229401" spans="1:1" x14ac:dyDescent="0.2">
      <c r="A229401" s="97" t="s">
        <v>119</v>
      </c>
    </row>
    <row r="229402" spans="1:1" x14ac:dyDescent="0.2">
      <c r="A229402" s="97" t="s">
        <v>120</v>
      </c>
    </row>
    <row r="229403" spans="1:1" x14ac:dyDescent="0.2">
      <c r="A229403" s="97" t="s">
        <v>121</v>
      </c>
    </row>
    <row r="229404" spans="1:1" x14ac:dyDescent="0.2">
      <c r="A229404" s="97" t="s">
        <v>122</v>
      </c>
    </row>
    <row r="229405" spans="1:1" x14ac:dyDescent="0.2">
      <c r="A229405" s="97" t="s">
        <v>123</v>
      </c>
    </row>
    <row r="229406" spans="1:1" x14ac:dyDescent="0.2">
      <c r="A229406" s="97" t="s">
        <v>124</v>
      </c>
    </row>
    <row r="229407" spans="1:1" x14ac:dyDescent="0.2">
      <c r="A229407" s="97" t="s">
        <v>125</v>
      </c>
    </row>
    <row r="229408" spans="1:1" x14ac:dyDescent="0.2">
      <c r="A229408" s="97" t="s">
        <v>126</v>
      </c>
    </row>
    <row r="229409" spans="1:1" x14ac:dyDescent="0.2">
      <c r="A229409" s="97" t="s">
        <v>127</v>
      </c>
    </row>
    <row r="229410" spans="1:1" x14ac:dyDescent="0.2">
      <c r="A229410" s="97" t="s">
        <v>128</v>
      </c>
    </row>
    <row r="229411" spans="1:1" x14ac:dyDescent="0.2">
      <c r="A229411" s="97" t="s">
        <v>129</v>
      </c>
    </row>
    <row r="229412" spans="1:1" x14ac:dyDescent="0.2">
      <c r="A229412" s="97" t="s">
        <v>130</v>
      </c>
    </row>
    <row r="229413" spans="1:1" x14ac:dyDescent="0.2">
      <c r="A229413" s="97" t="s">
        <v>131</v>
      </c>
    </row>
    <row r="229414" spans="1:1" x14ac:dyDescent="0.2">
      <c r="A229414" s="97" t="s">
        <v>132</v>
      </c>
    </row>
    <row r="229415" spans="1:1" x14ac:dyDescent="0.2">
      <c r="A229415" s="97" t="s">
        <v>133</v>
      </c>
    </row>
    <row r="229416" spans="1:1" x14ac:dyDescent="0.2">
      <c r="A229416" s="97" t="s">
        <v>134</v>
      </c>
    </row>
    <row r="229417" spans="1:1" x14ac:dyDescent="0.2">
      <c r="A229417" s="97" t="s">
        <v>135</v>
      </c>
    </row>
    <row r="229418" spans="1:1" x14ac:dyDescent="0.2">
      <c r="A229418" s="97" t="s">
        <v>136</v>
      </c>
    </row>
    <row r="229419" spans="1:1" x14ac:dyDescent="0.2">
      <c r="A229419" s="97" t="s">
        <v>137</v>
      </c>
    </row>
    <row r="229420" spans="1:1" x14ac:dyDescent="0.2">
      <c r="A229420" s="97" t="s">
        <v>138</v>
      </c>
    </row>
    <row r="229421" spans="1:1" x14ac:dyDescent="0.2">
      <c r="A229421" s="97" t="s">
        <v>139</v>
      </c>
    </row>
    <row r="229422" spans="1:1" x14ac:dyDescent="0.2">
      <c r="A229422" s="97" t="s">
        <v>140</v>
      </c>
    </row>
    <row r="229423" spans="1:1" x14ac:dyDescent="0.2">
      <c r="A229423" s="97" t="s">
        <v>141</v>
      </c>
    </row>
    <row r="229424" spans="1:1" x14ac:dyDescent="0.2">
      <c r="A229424" s="97" t="s">
        <v>142</v>
      </c>
    </row>
    <row r="229425" spans="1:1" x14ac:dyDescent="0.2">
      <c r="A229425" s="97" t="s">
        <v>143</v>
      </c>
    </row>
    <row r="229426" spans="1:1" x14ac:dyDescent="0.2">
      <c r="A229426" s="97" t="s">
        <v>144</v>
      </c>
    </row>
    <row r="229427" spans="1:1" x14ac:dyDescent="0.2">
      <c r="A229427" s="97" t="s">
        <v>145</v>
      </c>
    </row>
    <row r="229428" spans="1:1" x14ac:dyDescent="0.2">
      <c r="A229428" s="97" t="s">
        <v>146</v>
      </c>
    </row>
    <row r="229429" spans="1:1" x14ac:dyDescent="0.2">
      <c r="A229429" s="97" t="s">
        <v>147</v>
      </c>
    </row>
    <row r="229430" spans="1:1" x14ac:dyDescent="0.2">
      <c r="A229430" s="97" t="s">
        <v>148</v>
      </c>
    </row>
    <row r="229431" spans="1:1" x14ac:dyDescent="0.2">
      <c r="A229431" s="97" t="s">
        <v>149</v>
      </c>
    </row>
    <row r="229432" spans="1:1" x14ac:dyDescent="0.2">
      <c r="A229432" s="97" t="s">
        <v>150</v>
      </c>
    </row>
    <row r="229433" spans="1:1" x14ac:dyDescent="0.2">
      <c r="A229433" s="97" t="s">
        <v>151</v>
      </c>
    </row>
    <row r="229434" spans="1:1" x14ac:dyDescent="0.2">
      <c r="A229434" s="97" t="s">
        <v>152</v>
      </c>
    </row>
    <row r="229435" spans="1:1" x14ac:dyDescent="0.2">
      <c r="A229435" s="97" t="s">
        <v>153</v>
      </c>
    </row>
    <row r="229436" spans="1:1" x14ac:dyDescent="0.2">
      <c r="A229436" s="97" t="s">
        <v>154</v>
      </c>
    </row>
    <row r="229437" spans="1:1" x14ac:dyDescent="0.2">
      <c r="A229437" s="97" t="s">
        <v>155</v>
      </c>
    </row>
    <row r="229438" spans="1:1" x14ac:dyDescent="0.2">
      <c r="A229438" s="97" t="s">
        <v>156</v>
      </c>
    </row>
    <row r="229439" spans="1:1" x14ac:dyDescent="0.2">
      <c r="A229439" s="97" t="s">
        <v>157</v>
      </c>
    </row>
    <row r="229440" spans="1:1" x14ac:dyDescent="0.2">
      <c r="A229440" s="97" t="s">
        <v>158</v>
      </c>
    </row>
    <row r="229441" spans="1:1" x14ac:dyDescent="0.2">
      <c r="A229441" s="97" t="s">
        <v>159</v>
      </c>
    </row>
    <row r="229442" spans="1:1" x14ac:dyDescent="0.2">
      <c r="A229442" s="97" t="s">
        <v>160</v>
      </c>
    </row>
    <row r="229443" spans="1:1" x14ac:dyDescent="0.2">
      <c r="A229443" s="97" t="s">
        <v>161</v>
      </c>
    </row>
    <row r="229444" spans="1:1" x14ac:dyDescent="0.2">
      <c r="A229444" s="97" t="s">
        <v>162</v>
      </c>
    </row>
    <row r="229445" spans="1:1" x14ac:dyDescent="0.2">
      <c r="A229445" s="97" t="s">
        <v>163</v>
      </c>
    </row>
    <row r="229446" spans="1:1" x14ac:dyDescent="0.2">
      <c r="A229446" s="97" t="s">
        <v>164</v>
      </c>
    </row>
    <row r="229447" spans="1:1" x14ac:dyDescent="0.2">
      <c r="A229447" s="97" t="s">
        <v>165</v>
      </c>
    </row>
    <row r="229448" spans="1:1" x14ac:dyDescent="0.2">
      <c r="A229448" s="97" t="s">
        <v>166</v>
      </c>
    </row>
    <row r="229449" spans="1:1" x14ac:dyDescent="0.2">
      <c r="A229449" s="97" t="s">
        <v>167</v>
      </c>
    </row>
    <row r="229450" spans="1:1" x14ac:dyDescent="0.2">
      <c r="A229450" s="97" t="s">
        <v>168</v>
      </c>
    </row>
    <row r="229451" spans="1:1" x14ac:dyDescent="0.2">
      <c r="A229451" s="97" t="s">
        <v>169</v>
      </c>
    </row>
    <row r="229452" spans="1:1" x14ac:dyDescent="0.2">
      <c r="A229452" s="97" t="s">
        <v>170</v>
      </c>
    </row>
    <row r="229453" spans="1:1" x14ac:dyDescent="0.2">
      <c r="A229453" s="97" t="s">
        <v>171</v>
      </c>
    </row>
    <row r="229454" spans="1:1" x14ac:dyDescent="0.2">
      <c r="A229454" s="97" t="s">
        <v>172</v>
      </c>
    </row>
    <row r="229455" spans="1:1" x14ac:dyDescent="0.2">
      <c r="A229455" s="97" t="s">
        <v>173</v>
      </c>
    </row>
    <row r="229456" spans="1:1" x14ac:dyDescent="0.2">
      <c r="A229456" s="97" t="s">
        <v>174</v>
      </c>
    </row>
    <row r="229457" spans="1:1" x14ac:dyDescent="0.2">
      <c r="A229457" s="97" t="s">
        <v>175</v>
      </c>
    </row>
    <row r="229458" spans="1:1" x14ac:dyDescent="0.2">
      <c r="A229458" s="97" t="s">
        <v>176</v>
      </c>
    </row>
    <row r="229459" spans="1:1" x14ac:dyDescent="0.2">
      <c r="A229459" s="97" t="s">
        <v>177</v>
      </c>
    </row>
    <row r="229460" spans="1:1" x14ac:dyDescent="0.2">
      <c r="A229460" s="97" t="s">
        <v>178</v>
      </c>
    </row>
    <row r="229461" spans="1:1" x14ac:dyDescent="0.2">
      <c r="A229461" s="97" t="s">
        <v>179</v>
      </c>
    </row>
    <row r="229462" spans="1:1" x14ac:dyDescent="0.2">
      <c r="A229462" s="97" t="s">
        <v>180</v>
      </c>
    </row>
    <row r="229463" spans="1:1" x14ac:dyDescent="0.2">
      <c r="A229463" s="97" t="s">
        <v>181</v>
      </c>
    </row>
    <row r="229464" spans="1:1" x14ac:dyDescent="0.2">
      <c r="A229464" s="97" t="s">
        <v>182</v>
      </c>
    </row>
    <row r="229465" spans="1:1" x14ac:dyDescent="0.2">
      <c r="A229465" s="97" t="s">
        <v>183</v>
      </c>
    </row>
    <row r="245761" spans="1:1" x14ac:dyDescent="0.2">
      <c r="A245761" s="97" t="s">
        <v>95</v>
      </c>
    </row>
    <row r="245762" spans="1:1" x14ac:dyDescent="0.2">
      <c r="A245762" s="97" t="s">
        <v>96</v>
      </c>
    </row>
    <row r="245763" spans="1:1" x14ac:dyDescent="0.2">
      <c r="A245763" s="97" t="s">
        <v>97</v>
      </c>
    </row>
    <row r="245764" spans="1:1" x14ac:dyDescent="0.2">
      <c r="A245764" s="97" t="s">
        <v>98</v>
      </c>
    </row>
    <row r="245765" spans="1:1" x14ac:dyDescent="0.2">
      <c r="A245765" s="97" t="s">
        <v>99</v>
      </c>
    </row>
    <row r="245766" spans="1:1" x14ac:dyDescent="0.2">
      <c r="A245766" s="97" t="s">
        <v>100</v>
      </c>
    </row>
    <row r="245767" spans="1:1" x14ac:dyDescent="0.2">
      <c r="A245767" s="97" t="s">
        <v>101</v>
      </c>
    </row>
    <row r="245768" spans="1:1" x14ac:dyDescent="0.2">
      <c r="A245768" s="97" t="s">
        <v>102</v>
      </c>
    </row>
    <row r="245769" spans="1:1" x14ac:dyDescent="0.2">
      <c r="A245769" s="97" t="s">
        <v>103</v>
      </c>
    </row>
    <row r="245770" spans="1:1" x14ac:dyDescent="0.2">
      <c r="A245770" s="97" t="s">
        <v>104</v>
      </c>
    </row>
    <row r="245771" spans="1:1" x14ac:dyDescent="0.2">
      <c r="A245771" s="97" t="s">
        <v>105</v>
      </c>
    </row>
    <row r="245772" spans="1:1" x14ac:dyDescent="0.2">
      <c r="A245772" s="97" t="s">
        <v>106</v>
      </c>
    </row>
    <row r="245773" spans="1:1" x14ac:dyDescent="0.2">
      <c r="A245773" s="97" t="s">
        <v>107</v>
      </c>
    </row>
    <row r="245774" spans="1:1" x14ac:dyDescent="0.2">
      <c r="A245774" s="97" t="s">
        <v>108</v>
      </c>
    </row>
    <row r="245775" spans="1:1" x14ac:dyDescent="0.2">
      <c r="A245775" s="97" t="s">
        <v>109</v>
      </c>
    </row>
    <row r="245776" spans="1:1" x14ac:dyDescent="0.2">
      <c r="A245776" s="97" t="s">
        <v>110</v>
      </c>
    </row>
    <row r="245777" spans="1:1" x14ac:dyDescent="0.2">
      <c r="A245777" s="97" t="s">
        <v>111</v>
      </c>
    </row>
    <row r="245778" spans="1:1" x14ac:dyDescent="0.2">
      <c r="A245778" s="97" t="s">
        <v>112</v>
      </c>
    </row>
    <row r="245779" spans="1:1" x14ac:dyDescent="0.2">
      <c r="A245779" s="97" t="s">
        <v>113</v>
      </c>
    </row>
    <row r="245780" spans="1:1" x14ac:dyDescent="0.2">
      <c r="A245780" s="97" t="s">
        <v>114</v>
      </c>
    </row>
    <row r="245781" spans="1:1" x14ac:dyDescent="0.2">
      <c r="A245781" s="97" t="s">
        <v>115</v>
      </c>
    </row>
    <row r="245782" spans="1:1" x14ac:dyDescent="0.2">
      <c r="A245782" s="97" t="s">
        <v>116</v>
      </c>
    </row>
    <row r="245783" spans="1:1" x14ac:dyDescent="0.2">
      <c r="A245783" s="97" t="s">
        <v>117</v>
      </c>
    </row>
    <row r="245784" spans="1:1" x14ac:dyDescent="0.2">
      <c r="A245784" s="97" t="s">
        <v>118</v>
      </c>
    </row>
    <row r="245785" spans="1:1" x14ac:dyDescent="0.2">
      <c r="A245785" s="97" t="s">
        <v>119</v>
      </c>
    </row>
    <row r="245786" spans="1:1" x14ac:dyDescent="0.2">
      <c r="A245786" s="97" t="s">
        <v>120</v>
      </c>
    </row>
    <row r="245787" spans="1:1" x14ac:dyDescent="0.2">
      <c r="A245787" s="97" t="s">
        <v>121</v>
      </c>
    </row>
    <row r="245788" spans="1:1" x14ac:dyDescent="0.2">
      <c r="A245788" s="97" t="s">
        <v>122</v>
      </c>
    </row>
    <row r="245789" spans="1:1" x14ac:dyDescent="0.2">
      <c r="A245789" s="97" t="s">
        <v>123</v>
      </c>
    </row>
    <row r="245790" spans="1:1" x14ac:dyDescent="0.2">
      <c r="A245790" s="97" t="s">
        <v>124</v>
      </c>
    </row>
    <row r="245791" spans="1:1" x14ac:dyDescent="0.2">
      <c r="A245791" s="97" t="s">
        <v>125</v>
      </c>
    </row>
    <row r="245792" spans="1:1" x14ac:dyDescent="0.2">
      <c r="A245792" s="97" t="s">
        <v>126</v>
      </c>
    </row>
    <row r="245793" spans="1:1" x14ac:dyDescent="0.2">
      <c r="A245793" s="97" t="s">
        <v>127</v>
      </c>
    </row>
    <row r="245794" spans="1:1" x14ac:dyDescent="0.2">
      <c r="A245794" s="97" t="s">
        <v>128</v>
      </c>
    </row>
    <row r="245795" spans="1:1" x14ac:dyDescent="0.2">
      <c r="A245795" s="97" t="s">
        <v>129</v>
      </c>
    </row>
    <row r="245796" spans="1:1" x14ac:dyDescent="0.2">
      <c r="A245796" s="97" t="s">
        <v>130</v>
      </c>
    </row>
    <row r="245797" spans="1:1" x14ac:dyDescent="0.2">
      <c r="A245797" s="97" t="s">
        <v>131</v>
      </c>
    </row>
    <row r="245798" spans="1:1" x14ac:dyDescent="0.2">
      <c r="A245798" s="97" t="s">
        <v>132</v>
      </c>
    </row>
    <row r="245799" spans="1:1" x14ac:dyDescent="0.2">
      <c r="A245799" s="97" t="s">
        <v>133</v>
      </c>
    </row>
    <row r="245800" spans="1:1" x14ac:dyDescent="0.2">
      <c r="A245800" s="97" t="s">
        <v>134</v>
      </c>
    </row>
    <row r="245801" spans="1:1" x14ac:dyDescent="0.2">
      <c r="A245801" s="97" t="s">
        <v>135</v>
      </c>
    </row>
    <row r="245802" spans="1:1" x14ac:dyDescent="0.2">
      <c r="A245802" s="97" t="s">
        <v>136</v>
      </c>
    </row>
    <row r="245803" spans="1:1" x14ac:dyDescent="0.2">
      <c r="A245803" s="97" t="s">
        <v>137</v>
      </c>
    </row>
    <row r="245804" spans="1:1" x14ac:dyDescent="0.2">
      <c r="A245804" s="97" t="s">
        <v>138</v>
      </c>
    </row>
    <row r="245805" spans="1:1" x14ac:dyDescent="0.2">
      <c r="A245805" s="97" t="s">
        <v>139</v>
      </c>
    </row>
    <row r="245806" spans="1:1" x14ac:dyDescent="0.2">
      <c r="A245806" s="97" t="s">
        <v>140</v>
      </c>
    </row>
    <row r="245807" spans="1:1" x14ac:dyDescent="0.2">
      <c r="A245807" s="97" t="s">
        <v>141</v>
      </c>
    </row>
    <row r="245808" spans="1:1" x14ac:dyDescent="0.2">
      <c r="A245808" s="97" t="s">
        <v>142</v>
      </c>
    </row>
    <row r="245809" spans="1:1" x14ac:dyDescent="0.2">
      <c r="A245809" s="97" t="s">
        <v>143</v>
      </c>
    </row>
    <row r="245810" spans="1:1" x14ac:dyDescent="0.2">
      <c r="A245810" s="97" t="s">
        <v>144</v>
      </c>
    </row>
    <row r="245811" spans="1:1" x14ac:dyDescent="0.2">
      <c r="A245811" s="97" t="s">
        <v>145</v>
      </c>
    </row>
    <row r="245812" spans="1:1" x14ac:dyDescent="0.2">
      <c r="A245812" s="97" t="s">
        <v>146</v>
      </c>
    </row>
    <row r="245813" spans="1:1" x14ac:dyDescent="0.2">
      <c r="A245813" s="97" t="s">
        <v>147</v>
      </c>
    </row>
    <row r="245814" spans="1:1" x14ac:dyDescent="0.2">
      <c r="A245814" s="97" t="s">
        <v>148</v>
      </c>
    </row>
    <row r="245815" spans="1:1" x14ac:dyDescent="0.2">
      <c r="A245815" s="97" t="s">
        <v>149</v>
      </c>
    </row>
    <row r="245816" spans="1:1" x14ac:dyDescent="0.2">
      <c r="A245816" s="97" t="s">
        <v>150</v>
      </c>
    </row>
    <row r="245817" spans="1:1" x14ac:dyDescent="0.2">
      <c r="A245817" s="97" t="s">
        <v>151</v>
      </c>
    </row>
    <row r="245818" spans="1:1" x14ac:dyDescent="0.2">
      <c r="A245818" s="97" t="s">
        <v>152</v>
      </c>
    </row>
    <row r="245819" spans="1:1" x14ac:dyDescent="0.2">
      <c r="A245819" s="97" t="s">
        <v>153</v>
      </c>
    </row>
    <row r="245820" spans="1:1" x14ac:dyDescent="0.2">
      <c r="A245820" s="97" t="s">
        <v>154</v>
      </c>
    </row>
    <row r="245821" spans="1:1" x14ac:dyDescent="0.2">
      <c r="A245821" s="97" t="s">
        <v>155</v>
      </c>
    </row>
    <row r="245822" spans="1:1" x14ac:dyDescent="0.2">
      <c r="A245822" s="97" t="s">
        <v>156</v>
      </c>
    </row>
    <row r="245823" spans="1:1" x14ac:dyDescent="0.2">
      <c r="A245823" s="97" t="s">
        <v>157</v>
      </c>
    </row>
    <row r="245824" spans="1:1" x14ac:dyDescent="0.2">
      <c r="A245824" s="97" t="s">
        <v>158</v>
      </c>
    </row>
    <row r="245825" spans="1:1" x14ac:dyDescent="0.2">
      <c r="A245825" s="97" t="s">
        <v>159</v>
      </c>
    </row>
    <row r="245826" spans="1:1" x14ac:dyDescent="0.2">
      <c r="A245826" s="97" t="s">
        <v>160</v>
      </c>
    </row>
    <row r="245827" spans="1:1" x14ac:dyDescent="0.2">
      <c r="A245827" s="97" t="s">
        <v>161</v>
      </c>
    </row>
    <row r="245828" spans="1:1" x14ac:dyDescent="0.2">
      <c r="A245828" s="97" t="s">
        <v>162</v>
      </c>
    </row>
    <row r="245829" spans="1:1" x14ac:dyDescent="0.2">
      <c r="A245829" s="97" t="s">
        <v>163</v>
      </c>
    </row>
    <row r="245830" spans="1:1" x14ac:dyDescent="0.2">
      <c r="A245830" s="97" t="s">
        <v>164</v>
      </c>
    </row>
    <row r="245831" spans="1:1" x14ac:dyDescent="0.2">
      <c r="A245831" s="97" t="s">
        <v>165</v>
      </c>
    </row>
    <row r="245832" spans="1:1" x14ac:dyDescent="0.2">
      <c r="A245832" s="97" t="s">
        <v>166</v>
      </c>
    </row>
    <row r="245833" spans="1:1" x14ac:dyDescent="0.2">
      <c r="A245833" s="97" t="s">
        <v>167</v>
      </c>
    </row>
    <row r="245834" spans="1:1" x14ac:dyDescent="0.2">
      <c r="A245834" s="97" t="s">
        <v>168</v>
      </c>
    </row>
    <row r="245835" spans="1:1" x14ac:dyDescent="0.2">
      <c r="A245835" s="97" t="s">
        <v>169</v>
      </c>
    </row>
    <row r="245836" spans="1:1" x14ac:dyDescent="0.2">
      <c r="A245836" s="97" t="s">
        <v>170</v>
      </c>
    </row>
    <row r="245837" spans="1:1" x14ac:dyDescent="0.2">
      <c r="A245837" s="97" t="s">
        <v>171</v>
      </c>
    </row>
    <row r="245838" spans="1:1" x14ac:dyDescent="0.2">
      <c r="A245838" s="97" t="s">
        <v>172</v>
      </c>
    </row>
    <row r="245839" spans="1:1" x14ac:dyDescent="0.2">
      <c r="A245839" s="97" t="s">
        <v>173</v>
      </c>
    </row>
    <row r="245840" spans="1:1" x14ac:dyDescent="0.2">
      <c r="A245840" s="97" t="s">
        <v>174</v>
      </c>
    </row>
    <row r="245841" spans="1:1" x14ac:dyDescent="0.2">
      <c r="A245841" s="97" t="s">
        <v>175</v>
      </c>
    </row>
    <row r="245842" spans="1:1" x14ac:dyDescent="0.2">
      <c r="A245842" s="97" t="s">
        <v>176</v>
      </c>
    </row>
    <row r="245843" spans="1:1" x14ac:dyDescent="0.2">
      <c r="A245843" s="97" t="s">
        <v>177</v>
      </c>
    </row>
    <row r="245844" spans="1:1" x14ac:dyDescent="0.2">
      <c r="A245844" s="97" t="s">
        <v>178</v>
      </c>
    </row>
    <row r="245845" spans="1:1" x14ac:dyDescent="0.2">
      <c r="A245845" s="97" t="s">
        <v>179</v>
      </c>
    </row>
    <row r="245846" spans="1:1" x14ac:dyDescent="0.2">
      <c r="A245846" s="97" t="s">
        <v>180</v>
      </c>
    </row>
    <row r="245847" spans="1:1" x14ac:dyDescent="0.2">
      <c r="A245847" s="97" t="s">
        <v>181</v>
      </c>
    </row>
    <row r="245848" spans="1:1" x14ac:dyDescent="0.2">
      <c r="A245848" s="97" t="s">
        <v>182</v>
      </c>
    </row>
    <row r="245849" spans="1:1" x14ac:dyDescent="0.2">
      <c r="A245849" s="97" t="s">
        <v>183</v>
      </c>
    </row>
    <row r="262145" spans="1:1" x14ac:dyDescent="0.2">
      <c r="A262145" s="97" t="s">
        <v>95</v>
      </c>
    </row>
    <row r="262146" spans="1:1" x14ac:dyDescent="0.2">
      <c r="A262146" s="97" t="s">
        <v>96</v>
      </c>
    </row>
    <row r="262147" spans="1:1" x14ac:dyDescent="0.2">
      <c r="A262147" s="97" t="s">
        <v>97</v>
      </c>
    </row>
    <row r="262148" spans="1:1" x14ac:dyDescent="0.2">
      <c r="A262148" s="97" t="s">
        <v>98</v>
      </c>
    </row>
    <row r="262149" spans="1:1" x14ac:dyDescent="0.2">
      <c r="A262149" s="97" t="s">
        <v>99</v>
      </c>
    </row>
    <row r="262150" spans="1:1" x14ac:dyDescent="0.2">
      <c r="A262150" s="97" t="s">
        <v>100</v>
      </c>
    </row>
    <row r="262151" spans="1:1" x14ac:dyDescent="0.2">
      <c r="A262151" s="97" t="s">
        <v>101</v>
      </c>
    </row>
    <row r="262152" spans="1:1" x14ac:dyDescent="0.2">
      <c r="A262152" s="97" t="s">
        <v>102</v>
      </c>
    </row>
    <row r="262153" spans="1:1" x14ac:dyDescent="0.2">
      <c r="A262153" s="97" t="s">
        <v>103</v>
      </c>
    </row>
    <row r="262154" spans="1:1" x14ac:dyDescent="0.2">
      <c r="A262154" s="97" t="s">
        <v>104</v>
      </c>
    </row>
    <row r="262155" spans="1:1" x14ac:dyDescent="0.2">
      <c r="A262155" s="97" t="s">
        <v>105</v>
      </c>
    </row>
    <row r="262156" spans="1:1" x14ac:dyDescent="0.2">
      <c r="A262156" s="97" t="s">
        <v>106</v>
      </c>
    </row>
    <row r="262157" spans="1:1" x14ac:dyDescent="0.2">
      <c r="A262157" s="97" t="s">
        <v>107</v>
      </c>
    </row>
    <row r="262158" spans="1:1" x14ac:dyDescent="0.2">
      <c r="A262158" s="97" t="s">
        <v>108</v>
      </c>
    </row>
    <row r="262159" spans="1:1" x14ac:dyDescent="0.2">
      <c r="A262159" s="97" t="s">
        <v>109</v>
      </c>
    </row>
    <row r="262160" spans="1:1" x14ac:dyDescent="0.2">
      <c r="A262160" s="97" t="s">
        <v>110</v>
      </c>
    </row>
    <row r="262161" spans="1:1" x14ac:dyDescent="0.2">
      <c r="A262161" s="97" t="s">
        <v>111</v>
      </c>
    </row>
    <row r="262162" spans="1:1" x14ac:dyDescent="0.2">
      <c r="A262162" s="97" t="s">
        <v>112</v>
      </c>
    </row>
    <row r="262163" spans="1:1" x14ac:dyDescent="0.2">
      <c r="A262163" s="97" t="s">
        <v>113</v>
      </c>
    </row>
    <row r="262164" spans="1:1" x14ac:dyDescent="0.2">
      <c r="A262164" s="97" t="s">
        <v>114</v>
      </c>
    </row>
    <row r="262165" spans="1:1" x14ac:dyDescent="0.2">
      <c r="A262165" s="97" t="s">
        <v>115</v>
      </c>
    </row>
    <row r="262166" spans="1:1" x14ac:dyDescent="0.2">
      <c r="A262166" s="97" t="s">
        <v>116</v>
      </c>
    </row>
    <row r="262167" spans="1:1" x14ac:dyDescent="0.2">
      <c r="A262167" s="97" t="s">
        <v>117</v>
      </c>
    </row>
    <row r="262168" spans="1:1" x14ac:dyDescent="0.2">
      <c r="A262168" s="97" t="s">
        <v>118</v>
      </c>
    </row>
    <row r="262169" spans="1:1" x14ac:dyDescent="0.2">
      <c r="A262169" s="97" t="s">
        <v>119</v>
      </c>
    </row>
    <row r="262170" spans="1:1" x14ac:dyDescent="0.2">
      <c r="A262170" s="97" t="s">
        <v>120</v>
      </c>
    </row>
    <row r="262171" spans="1:1" x14ac:dyDescent="0.2">
      <c r="A262171" s="97" t="s">
        <v>121</v>
      </c>
    </row>
    <row r="262172" spans="1:1" x14ac:dyDescent="0.2">
      <c r="A262172" s="97" t="s">
        <v>122</v>
      </c>
    </row>
    <row r="262173" spans="1:1" x14ac:dyDescent="0.2">
      <c r="A262173" s="97" t="s">
        <v>123</v>
      </c>
    </row>
    <row r="262174" spans="1:1" x14ac:dyDescent="0.2">
      <c r="A262174" s="97" t="s">
        <v>124</v>
      </c>
    </row>
    <row r="262175" spans="1:1" x14ac:dyDescent="0.2">
      <c r="A262175" s="97" t="s">
        <v>125</v>
      </c>
    </row>
    <row r="262176" spans="1:1" x14ac:dyDescent="0.2">
      <c r="A262176" s="97" t="s">
        <v>126</v>
      </c>
    </row>
    <row r="262177" spans="1:1" x14ac:dyDescent="0.2">
      <c r="A262177" s="97" t="s">
        <v>127</v>
      </c>
    </row>
    <row r="262178" spans="1:1" x14ac:dyDescent="0.2">
      <c r="A262178" s="97" t="s">
        <v>128</v>
      </c>
    </row>
    <row r="262179" spans="1:1" x14ac:dyDescent="0.2">
      <c r="A262179" s="97" t="s">
        <v>129</v>
      </c>
    </row>
    <row r="262180" spans="1:1" x14ac:dyDescent="0.2">
      <c r="A262180" s="97" t="s">
        <v>130</v>
      </c>
    </row>
    <row r="262181" spans="1:1" x14ac:dyDescent="0.2">
      <c r="A262181" s="97" t="s">
        <v>131</v>
      </c>
    </row>
    <row r="262182" spans="1:1" x14ac:dyDescent="0.2">
      <c r="A262182" s="97" t="s">
        <v>132</v>
      </c>
    </row>
    <row r="262183" spans="1:1" x14ac:dyDescent="0.2">
      <c r="A262183" s="97" t="s">
        <v>133</v>
      </c>
    </row>
    <row r="262184" spans="1:1" x14ac:dyDescent="0.2">
      <c r="A262184" s="97" t="s">
        <v>134</v>
      </c>
    </row>
    <row r="262185" spans="1:1" x14ac:dyDescent="0.2">
      <c r="A262185" s="97" t="s">
        <v>135</v>
      </c>
    </row>
    <row r="262186" spans="1:1" x14ac:dyDescent="0.2">
      <c r="A262186" s="97" t="s">
        <v>136</v>
      </c>
    </row>
    <row r="262187" spans="1:1" x14ac:dyDescent="0.2">
      <c r="A262187" s="97" t="s">
        <v>137</v>
      </c>
    </row>
    <row r="262188" spans="1:1" x14ac:dyDescent="0.2">
      <c r="A262188" s="97" t="s">
        <v>138</v>
      </c>
    </row>
    <row r="262189" spans="1:1" x14ac:dyDescent="0.2">
      <c r="A262189" s="97" t="s">
        <v>139</v>
      </c>
    </row>
    <row r="262190" spans="1:1" x14ac:dyDescent="0.2">
      <c r="A262190" s="97" t="s">
        <v>140</v>
      </c>
    </row>
    <row r="262191" spans="1:1" x14ac:dyDescent="0.2">
      <c r="A262191" s="97" t="s">
        <v>141</v>
      </c>
    </row>
    <row r="262192" spans="1:1" x14ac:dyDescent="0.2">
      <c r="A262192" s="97" t="s">
        <v>142</v>
      </c>
    </row>
    <row r="262193" spans="1:1" x14ac:dyDescent="0.2">
      <c r="A262193" s="97" t="s">
        <v>143</v>
      </c>
    </row>
    <row r="262194" spans="1:1" x14ac:dyDescent="0.2">
      <c r="A262194" s="97" t="s">
        <v>144</v>
      </c>
    </row>
    <row r="262195" spans="1:1" x14ac:dyDescent="0.2">
      <c r="A262195" s="97" t="s">
        <v>145</v>
      </c>
    </row>
    <row r="262196" spans="1:1" x14ac:dyDescent="0.2">
      <c r="A262196" s="97" t="s">
        <v>146</v>
      </c>
    </row>
    <row r="262197" spans="1:1" x14ac:dyDescent="0.2">
      <c r="A262197" s="97" t="s">
        <v>147</v>
      </c>
    </row>
    <row r="262198" spans="1:1" x14ac:dyDescent="0.2">
      <c r="A262198" s="97" t="s">
        <v>148</v>
      </c>
    </row>
    <row r="262199" spans="1:1" x14ac:dyDescent="0.2">
      <c r="A262199" s="97" t="s">
        <v>149</v>
      </c>
    </row>
    <row r="262200" spans="1:1" x14ac:dyDescent="0.2">
      <c r="A262200" s="97" t="s">
        <v>150</v>
      </c>
    </row>
    <row r="262201" spans="1:1" x14ac:dyDescent="0.2">
      <c r="A262201" s="97" t="s">
        <v>151</v>
      </c>
    </row>
    <row r="262202" spans="1:1" x14ac:dyDescent="0.2">
      <c r="A262202" s="97" t="s">
        <v>152</v>
      </c>
    </row>
    <row r="262203" spans="1:1" x14ac:dyDescent="0.2">
      <c r="A262203" s="97" t="s">
        <v>153</v>
      </c>
    </row>
    <row r="262204" spans="1:1" x14ac:dyDescent="0.2">
      <c r="A262204" s="97" t="s">
        <v>154</v>
      </c>
    </row>
    <row r="262205" spans="1:1" x14ac:dyDescent="0.2">
      <c r="A262205" s="97" t="s">
        <v>155</v>
      </c>
    </row>
    <row r="262206" spans="1:1" x14ac:dyDescent="0.2">
      <c r="A262206" s="97" t="s">
        <v>156</v>
      </c>
    </row>
    <row r="262207" spans="1:1" x14ac:dyDescent="0.2">
      <c r="A262207" s="97" t="s">
        <v>157</v>
      </c>
    </row>
    <row r="262208" spans="1:1" x14ac:dyDescent="0.2">
      <c r="A262208" s="97" t="s">
        <v>158</v>
      </c>
    </row>
    <row r="262209" spans="1:1" x14ac:dyDescent="0.2">
      <c r="A262209" s="97" t="s">
        <v>159</v>
      </c>
    </row>
    <row r="262210" spans="1:1" x14ac:dyDescent="0.2">
      <c r="A262210" s="97" t="s">
        <v>160</v>
      </c>
    </row>
    <row r="262211" spans="1:1" x14ac:dyDescent="0.2">
      <c r="A262211" s="97" t="s">
        <v>161</v>
      </c>
    </row>
    <row r="262212" spans="1:1" x14ac:dyDescent="0.2">
      <c r="A262212" s="97" t="s">
        <v>162</v>
      </c>
    </row>
    <row r="262213" spans="1:1" x14ac:dyDescent="0.2">
      <c r="A262213" s="97" t="s">
        <v>163</v>
      </c>
    </row>
    <row r="262214" spans="1:1" x14ac:dyDescent="0.2">
      <c r="A262214" s="97" t="s">
        <v>164</v>
      </c>
    </row>
    <row r="262215" spans="1:1" x14ac:dyDescent="0.2">
      <c r="A262215" s="97" t="s">
        <v>165</v>
      </c>
    </row>
    <row r="262216" spans="1:1" x14ac:dyDescent="0.2">
      <c r="A262216" s="97" t="s">
        <v>166</v>
      </c>
    </row>
    <row r="262217" spans="1:1" x14ac:dyDescent="0.2">
      <c r="A262217" s="97" t="s">
        <v>167</v>
      </c>
    </row>
    <row r="262218" spans="1:1" x14ac:dyDescent="0.2">
      <c r="A262218" s="97" t="s">
        <v>168</v>
      </c>
    </row>
    <row r="262219" spans="1:1" x14ac:dyDescent="0.2">
      <c r="A262219" s="97" t="s">
        <v>169</v>
      </c>
    </row>
    <row r="262220" spans="1:1" x14ac:dyDescent="0.2">
      <c r="A262220" s="97" t="s">
        <v>170</v>
      </c>
    </row>
    <row r="262221" spans="1:1" x14ac:dyDescent="0.2">
      <c r="A262221" s="97" t="s">
        <v>171</v>
      </c>
    </row>
    <row r="262222" spans="1:1" x14ac:dyDescent="0.2">
      <c r="A262222" s="97" t="s">
        <v>172</v>
      </c>
    </row>
    <row r="262223" spans="1:1" x14ac:dyDescent="0.2">
      <c r="A262223" s="97" t="s">
        <v>173</v>
      </c>
    </row>
    <row r="262224" spans="1:1" x14ac:dyDescent="0.2">
      <c r="A262224" s="97" t="s">
        <v>174</v>
      </c>
    </row>
    <row r="262225" spans="1:1" x14ac:dyDescent="0.2">
      <c r="A262225" s="97" t="s">
        <v>175</v>
      </c>
    </row>
    <row r="262226" spans="1:1" x14ac:dyDescent="0.2">
      <c r="A262226" s="97" t="s">
        <v>176</v>
      </c>
    </row>
    <row r="262227" spans="1:1" x14ac:dyDescent="0.2">
      <c r="A262227" s="97" t="s">
        <v>177</v>
      </c>
    </row>
    <row r="262228" spans="1:1" x14ac:dyDescent="0.2">
      <c r="A262228" s="97" t="s">
        <v>178</v>
      </c>
    </row>
    <row r="262229" spans="1:1" x14ac:dyDescent="0.2">
      <c r="A262229" s="97" t="s">
        <v>179</v>
      </c>
    </row>
    <row r="262230" spans="1:1" x14ac:dyDescent="0.2">
      <c r="A262230" s="97" t="s">
        <v>180</v>
      </c>
    </row>
    <row r="262231" spans="1:1" x14ac:dyDescent="0.2">
      <c r="A262231" s="97" t="s">
        <v>181</v>
      </c>
    </row>
    <row r="262232" spans="1:1" x14ac:dyDescent="0.2">
      <c r="A262232" s="97" t="s">
        <v>182</v>
      </c>
    </row>
    <row r="262233" spans="1:1" x14ac:dyDescent="0.2">
      <c r="A262233" s="97" t="s">
        <v>183</v>
      </c>
    </row>
    <row r="278529" spans="1:1" x14ac:dyDescent="0.2">
      <c r="A278529" s="97" t="s">
        <v>95</v>
      </c>
    </row>
    <row r="278530" spans="1:1" x14ac:dyDescent="0.2">
      <c r="A278530" s="97" t="s">
        <v>96</v>
      </c>
    </row>
    <row r="278531" spans="1:1" x14ac:dyDescent="0.2">
      <c r="A278531" s="97" t="s">
        <v>97</v>
      </c>
    </row>
    <row r="278532" spans="1:1" x14ac:dyDescent="0.2">
      <c r="A278532" s="97" t="s">
        <v>98</v>
      </c>
    </row>
    <row r="278533" spans="1:1" x14ac:dyDescent="0.2">
      <c r="A278533" s="97" t="s">
        <v>99</v>
      </c>
    </row>
    <row r="278534" spans="1:1" x14ac:dyDescent="0.2">
      <c r="A278534" s="97" t="s">
        <v>100</v>
      </c>
    </row>
    <row r="278535" spans="1:1" x14ac:dyDescent="0.2">
      <c r="A278535" s="97" t="s">
        <v>101</v>
      </c>
    </row>
    <row r="278536" spans="1:1" x14ac:dyDescent="0.2">
      <c r="A278536" s="97" t="s">
        <v>102</v>
      </c>
    </row>
    <row r="278537" spans="1:1" x14ac:dyDescent="0.2">
      <c r="A278537" s="97" t="s">
        <v>103</v>
      </c>
    </row>
    <row r="278538" spans="1:1" x14ac:dyDescent="0.2">
      <c r="A278538" s="97" t="s">
        <v>104</v>
      </c>
    </row>
    <row r="278539" spans="1:1" x14ac:dyDescent="0.2">
      <c r="A278539" s="97" t="s">
        <v>105</v>
      </c>
    </row>
    <row r="278540" spans="1:1" x14ac:dyDescent="0.2">
      <c r="A278540" s="97" t="s">
        <v>106</v>
      </c>
    </row>
    <row r="278541" spans="1:1" x14ac:dyDescent="0.2">
      <c r="A278541" s="97" t="s">
        <v>107</v>
      </c>
    </row>
    <row r="278542" spans="1:1" x14ac:dyDescent="0.2">
      <c r="A278542" s="97" t="s">
        <v>108</v>
      </c>
    </row>
    <row r="278543" spans="1:1" x14ac:dyDescent="0.2">
      <c r="A278543" s="97" t="s">
        <v>109</v>
      </c>
    </row>
    <row r="278544" spans="1:1" x14ac:dyDescent="0.2">
      <c r="A278544" s="97" t="s">
        <v>110</v>
      </c>
    </row>
    <row r="278545" spans="1:1" x14ac:dyDescent="0.2">
      <c r="A278545" s="97" t="s">
        <v>111</v>
      </c>
    </row>
    <row r="278546" spans="1:1" x14ac:dyDescent="0.2">
      <c r="A278546" s="97" t="s">
        <v>112</v>
      </c>
    </row>
    <row r="278547" spans="1:1" x14ac:dyDescent="0.2">
      <c r="A278547" s="97" t="s">
        <v>113</v>
      </c>
    </row>
    <row r="278548" spans="1:1" x14ac:dyDescent="0.2">
      <c r="A278548" s="97" t="s">
        <v>114</v>
      </c>
    </row>
    <row r="278549" spans="1:1" x14ac:dyDescent="0.2">
      <c r="A278549" s="97" t="s">
        <v>115</v>
      </c>
    </row>
    <row r="278550" spans="1:1" x14ac:dyDescent="0.2">
      <c r="A278550" s="97" t="s">
        <v>116</v>
      </c>
    </row>
    <row r="278551" spans="1:1" x14ac:dyDescent="0.2">
      <c r="A278551" s="97" t="s">
        <v>117</v>
      </c>
    </row>
    <row r="278552" spans="1:1" x14ac:dyDescent="0.2">
      <c r="A278552" s="97" t="s">
        <v>118</v>
      </c>
    </row>
    <row r="278553" spans="1:1" x14ac:dyDescent="0.2">
      <c r="A278553" s="97" t="s">
        <v>119</v>
      </c>
    </row>
    <row r="278554" spans="1:1" x14ac:dyDescent="0.2">
      <c r="A278554" s="97" t="s">
        <v>120</v>
      </c>
    </row>
    <row r="278555" spans="1:1" x14ac:dyDescent="0.2">
      <c r="A278555" s="97" t="s">
        <v>121</v>
      </c>
    </row>
    <row r="278556" spans="1:1" x14ac:dyDescent="0.2">
      <c r="A278556" s="97" t="s">
        <v>122</v>
      </c>
    </row>
    <row r="278557" spans="1:1" x14ac:dyDescent="0.2">
      <c r="A278557" s="97" t="s">
        <v>123</v>
      </c>
    </row>
    <row r="278558" spans="1:1" x14ac:dyDescent="0.2">
      <c r="A278558" s="97" t="s">
        <v>124</v>
      </c>
    </row>
    <row r="278559" spans="1:1" x14ac:dyDescent="0.2">
      <c r="A278559" s="97" t="s">
        <v>125</v>
      </c>
    </row>
    <row r="278560" spans="1:1" x14ac:dyDescent="0.2">
      <c r="A278560" s="97" t="s">
        <v>126</v>
      </c>
    </row>
    <row r="278561" spans="1:1" x14ac:dyDescent="0.2">
      <c r="A278561" s="97" t="s">
        <v>127</v>
      </c>
    </row>
    <row r="278562" spans="1:1" x14ac:dyDescent="0.2">
      <c r="A278562" s="97" t="s">
        <v>128</v>
      </c>
    </row>
    <row r="278563" spans="1:1" x14ac:dyDescent="0.2">
      <c r="A278563" s="97" t="s">
        <v>129</v>
      </c>
    </row>
    <row r="278564" spans="1:1" x14ac:dyDescent="0.2">
      <c r="A278564" s="97" t="s">
        <v>130</v>
      </c>
    </row>
    <row r="278565" spans="1:1" x14ac:dyDescent="0.2">
      <c r="A278565" s="97" t="s">
        <v>131</v>
      </c>
    </row>
    <row r="278566" spans="1:1" x14ac:dyDescent="0.2">
      <c r="A278566" s="97" t="s">
        <v>132</v>
      </c>
    </row>
    <row r="278567" spans="1:1" x14ac:dyDescent="0.2">
      <c r="A278567" s="97" t="s">
        <v>133</v>
      </c>
    </row>
    <row r="278568" spans="1:1" x14ac:dyDescent="0.2">
      <c r="A278568" s="97" t="s">
        <v>134</v>
      </c>
    </row>
    <row r="278569" spans="1:1" x14ac:dyDescent="0.2">
      <c r="A278569" s="97" t="s">
        <v>135</v>
      </c>
    </row>
    <row r="278570" spans="1:1" x14ac:dyDescent="0.2">
      <c r="A278570" s="97" t="s">
        <v>136</v>
      </c>
    </row>
    <row r="278571" spans="1:1" x14ac:dyDescent="0.2">
      <c r="A278571" s="97" t="s">
        <v>137</v>
      </c>
    </row>
    <row r="278572" spans="1:1" x14ac:dyDescent="0.2">
      <c r="A278572" s="97" t="s">
        <v>138</v>
      </c>
    </row>
    <row r="278573" spans="1:1" x14ac:dyDescent="0.2">
      <c r="A278573" s="97" t="s">
        <v>139</v>
      </c>
    </row>
    <row r="278574" spans="1:1" x14ac:dyDescent="0.2">
      <c r="A278574" s="97" t="s">
        <v>140</v>
      </c>
    </row>
    <row r="278575" spans="1:1" x14ac:dyDescent="0.2">
      <c r="A278575" s="97" t="s">
        <v>141</v>
      </c>
    </row>
    <row r="278576" spans="1:1" x14ac:dyDescent="0.2">
      <c r="A278576" s="97" t="s">
        <v>142</v>
      </c>
    </row>
    <row r="278577" spans="1:1" x14ac:dyDescent="0.2">
      <c r="A278577" s="97" t="s">
        <v>143</v>
      </c>
    </row>
    <row r="278578" spans="1:1" x14ac:dyDescent="0.2">
      <c r="A278578" s="97" t="s">
        <v>144</v>
      </c>
    </row>
    <row r="278579" spans="1:1" x14ac:dyDescent="0.2">
      <c r="A278579" s="97" t="s">
        <v>145</v>
      </c>
    </row>
    <row r="278580" spans="1:1" x14ac:dyDescent="0.2">
      <c r="A278580" s="97" t="s">
        <v>146</v>
      </c>
    </row>
    <row r="278581" spans="1:1" x14ac:dyDescent="0.2">
      <c r="A278581" s="97" t="s">
        <v>147</v>
      </c>
    </row>
    <row r="278582" spans="1:1" x14ac:dyDescent="0.2">
      <c r="A278582" s="97" t="s">
        <v>148</v>
      </c>
    </row>
    <row r="278583" spans="1:1" x14ac:dyDescent="0.2">
      <c r="A278583" s="97" t="s">
        <v>149</v>
      </c>
    </row>
    <row r="278584" spans="1:1" x14ac:dyDescent="0.2">
      <c r="A278584" s="97" t="s">
        <v>150</v>
      </c>
    </row>
    <row r="278585" spans="1:1" x14ac:dyDescent="0.2">
      <c r="A278585" s="97" t="s">
        <v>151</v>
      </c>
    </row>
    <row r="278586" spans="1:1" x14ac:dyDescent="0.2">
      <c r="A278586" s="97" t="s">
        <v>152</v>
      </c>
    </row>
    <row r="278587" spans="1:1" x14ac:dyDescent="0.2">
      <c r="A278587" s="97" t="s">
        <v>153</v>
      </c>
    </row>
    <row r="278588" spans="1:1" x14ac:dyDescent="0.2">
      <c r="A278588" s="97" t="s">
        <v>154</v>
      </c>
    </row>
    <row r="278589" spans="1:1" x14ac:dyDescent="0.2">
      <c r="A278589" s="97" t="s">
        <v>155</v>
      </c>
    </row>
    <row r="278590" spans="1:1" x14ac:dyDescent="0.2">
      <c r="A278590" s="97" t="s">
        <v>156</v>
      </c>
    </row>
    <row r="278591" spans="1:1" x14ac:dyDescent="0.2">
      <c r="A278591" s="97" t="s">
        <v>157</v>
      </c>
    </row>
    <row r="278592" spans="1:1" x14ac:dyDescent="0.2">
      <c r="A278592" s="97" t="s">
        <v>158</v>
      </c>
    </row>
    <row r="278593" spans="1:1" x14ac:dyDescent="0.2">
      <c r="A278593" s="97" t="s">
        <v>159</v>
      </c>
    </row>
    <row r="278594" spans="1:1" x14ac:dyDescent="0.2">
      <c r="A278594" s="97" t="s">
        <v>160</v>
      </c>
    </row>
    <row r="278595" spans="1:1" x14ac:dyDescent="0.2">
      <c r="A278595" s="97" t="s">
        <v>161</v>
      </c>
    </row>
    <row r="278596" spans="1:1" x14ac:dyDescent="0.2">
      <c r="A278596" s="97" t="s">
        <v>162</v>
      </c>
    </row>
    <row r="278597" spans="1:1" x14ac:dyDescent="0.2">
      <c r="A278597" s="97" t="s">
        <v>163</v>
      </c>
    </row>
    <row r="278598" spans="1:1" x14ac:dyDescent="0.2">
      <c r="A278598" s="97" t="s">
        <v>164</v>
      </c>
    </row>
    <row r="278599" spans="1:1" x14ac:dyDescent="0.2">
      <c r="A278599" s="97" t="s">
        <v>165</v>
      </c>
    </row>
    <row r="278600" spans="1:1" x14ac:dyDescent="0.2">
      <c r="A278600" s="97" t="s">
        <v>166</v>
      </c>
    </row>
    <row r="278601" spans="1:1" x14ac:dyDescent="0.2">
      <c r="A278601" s="97" t="s">
        <v>167</v>
      </c>
    </row>
    <row r="278602" spans="1:1" x14ac:dyDescent="0.2">
      <c r="A278602" s="97" t="s">
        <v>168</v>
      </c>
    </row>
    <row r="278603" spans="1:1" x14ac:dyDescent="0.2">
      <c r="A278603" s="97" t="s">
        <v>169</v>
      </c>
    </row>
    <row r="278604" spans="1:1" x14ac:dyDescent="0.2">
      <c r="A278604" s="97" t="s">
        <v>170</v>
      </c>
    </row>
    <row r="278605" spans="1:1" x14ac:dyDescent="0.2">
      <c r="A278605" s="97" t="s">
        <v>171</v>
      </c>
    </row>
    <row r="278606" spans="1:1" x14ac:dyDescent="0.2">
      <c r="A278606" s="97" t="s">
        <v>172</v>
      </c>
    </row>
    <row r="278607" spans="1:1" x14ac:dyDescent="0.2">
      <c r="A278607" s="97" t="s">
        <v>173</v>
      </c>
    </row>
    <row r="278608" spans="1:1" x14ac:dyDescent="0.2">
      <c r="A278608" s="97" t="s">
        <v>174</v>
      </c>
    </row>
    <row r="278609" spans="1:1" x14ac:dyDescent="0.2">
      <c r="A278609" s="97" t="s">
        <v>175</v>
      </c>
    </row>
    <row r="278610" spans="1:1" x14ac:dyDescent="0.2">
      <c r="A278610" s="97" t="s">
        <v>176</v>
      </c>
    </row>
    <row r="278611" spans="1:1" x14ac:dyDescent="0.2">
      <c r="A278611" s="97" t="s">
        <v>177</v>
      </c>
    </row>
    <row r="278612" spans="1:1" x14ac:dyDescent="0.2">
      <c r="A278612" s="97" t="s">
        <v>178</v>
      </c>
    </row>
    <row r="278613" spans="1:1" x14ac:dyDescent="0.2">
      <c r="A278613" s="97" t="s">
        <v>179</v>
      </c>
    </row>
    <row r="278614" spans="1:1" x14ac:dyDescent="0.2">
      <c r="A278614" s="97" t="s">
        <v>180</v>
      </c>
    </row>
    <row r="278615" spans="1:1" x14ac:dyDescent="0.2">
      <c r="A278615" s="97" t="s">
        <v>181</v>
      </c>
    </row>
    <row r="278616" spans="1:1" x14ac:dyDescent="0.2">
      <c r="A278616" s="97" t="s">
        <v>182</v>
      </c>
    </row>
    <row r="278617" spans="1:1" x14ac:dyDescent="0.2">
      <c r="A278617" s="97" t="s">
        <v>183</v>
      </c>
    </row>
    <row r="294913" spans="1:1" x14ac:dyDescent="0.2">
      <c r="A294913" s="97" t="s">
        <v>95</v>
      </c>
    </row>
    <row r="294914" spans="1:1" x14ac:dyDescent="0.2">
      <c r="A294914" s="97" t="s">
        <v>96</v>
      </c>
    </row>
    <row r="294915" spans="1:1" x14ac:dyDescent="0.2">
      <c r="A294915" s="97" t="s">
        <v>97</v>
      </c>
    </row>
    <row r="294916" spans="1:1" x14ac:dyDescent="0.2">
      <c r="A294916" s="97" t="s">
        <v>98</v>
      </c>
    </row>
    <row r="294917" spans="1:1" x14ac:dyDescent="0.2">
      <c r="A294917" s="97" t="s">
        <v>99</v>
      </c>
    </row>
    <row r="294918" spans="1:1" x14ac:dyDescent="0.2">
      <c r="A294918" s="97" t="s">
        <v>100</v>
      </c>
    </row>
    <row r="294919" spans="1:1" x14ac:dyDescent="0.2">
      <c r="A294919" s="97" t="s">
        <v>101</v>
      </c>
    </row>
    <row r="294920" spans="1:1" x14ac:dyDescent="0.2">
      <c r="A294920" s="97" t="s">
        <v>102</v>
      </c>
    </row>
    <row r="294921" spans="1:1" x14ac:dyDescent="0.2">
      <c r="A294921" s="97" t="s">
        <v>103</v>
      </c>
    </row>
    <row r="294922" spans="1:1" x14ac:dyDescent="0.2">
      <c r="A294922" s="97" t="s">
        <v>104</v>
      </c>
    </row>
    <row r="294923" spans="1:1" x14ac:dyDescent="0.2">
      <c r="A294923" s="97" t="s">
        <v>105</v>
      </c>
    </row>
    <row r="294924" spans="1:1" x14ac:dyDescent="0.2">
      <c r="A294924" s="97" t="s">
        <v>106</v>
      </c>
    </row>
    <row r="294925" spans="1:1" x14ac:dyDescent="0.2">
      <c r="A294925" s="97" t="s">
        <v>107</v>
      </c>
    </row>
    <row r="294926" spans="1:1" x14ac:dyDescent="0.2">
      <c r="A294926" s="97" t="s">
        <v>108</v>
      </c>
    </row>
    <row r="294927" spans="1:1" x14ac:dyDescent="0.2">
      <c r="A294927" s="97" t="s">
        <v>109</v>
      </c>
    </row>
    <row r="294928" spans="1:1" x14ac:dyDescent="0.2">
      <c r="A294928" s="97" t="s">
        <v>110</v>
      </c>
    </row>
    <row r="294929" spans="1:1" x14ac:dyDescent="0.2">
      <c r="A294929" s="97" t="s">
        <v>111</v>
      </c>
    </row>
    <row r="294930" spans="1:1" x14ac:dyDescent="0.2">
      <c r="A294930" s="97" t="s">
        <v>112</v>
      </c>
    </row>
    <row r="294931" spans="1:1" x14ac:dyDescent="0.2">
      <c r="A294931" s="97" t="s">
        <v>113</v>
      </c>
    </row>
    <row r="294932" spans="1:1" x14ac:dyDescent="0.2">
      <c r="A294932" s="97" t="s">
        <v>114</v>
      </c>
    </row>
    <row r="294933" spans="1:1" x14ac:dyDescent="0.2">
      <c r="A294933" s="97" t="s">
        <v>115</v>
      </c>
    </row>
    <row r="294934" spans="1:1" x14ac:dyDescent="0.2">
      <c r="A294934" s="97" t="s">
        <v>116</v>
      </c>
    </row>
    <row r="294935" spans="1:1" x14ac:dyDescent="0.2">
      <c r="A294935" s="97" t="s">
        <v>117</v>
      </c>
    </row>
    <row r="294936" spans="1:1" x14ac:dyDescent="0.2">
      <c r="A294936" s="97" t="s">
        <v>118</v>
      </c>
    </row>
    <row r="294937" spans="1:1" x14ac:dyDescent="0.2">
      <c r="A294937" s="97" t="s">
        <v>119</v>
      </c>
    </row>
    <row r="294938" spans="1:1" x14ac:dyDescent="0.2">
      <c r="A294938" s="97" t="s">
        <v>120</v>
      </c>
    </row>
    <row r="294939" spans="1:1" x14ac:dyDescent="0.2">
      <c r="A294939" s="97" t="s">
        <v>121</v>
      </c>
    </row>
    <row r="294940" spans="1:1" x14ac:dyDescent="0.2">
      <c r="A294940" s="97" t="s">
        <v>122</v>
      </c>
    </row>
    <row r="294941" spans="1:1" x14ac:dyDescent="0.2">
      <c r="A294941" s="97" t="s">
        <v>123</v>
      </c>
    </row>
    <row r="294942" spans="1:1" x14ac:dyDescent="0.2">
      <c r="A294942" s="97" t="s">
        <v>124</v>
      </c>
    </row>
    <row r="294943" spans="1:1" x14ac:dyDescent="0.2">
      <c r="A294943" s="97" t="s">
        <v>125</v>
      </c>
    </row>
    <row r="294944" spans="1:1" x14ac:dyDescent="0.2">
      <c r="A294944" s="97" t="s">
        <v>126</v>
      </c>
    </row>
    <row r="294945" spans="1:1" x14ac:dyDescent="0.2">
      <c r="A294945" s="97" t="s">
        <v>127</v>
      </c>
    </row>
    <row r="294946" spans="1:1" x14ac:dyDescent="0.2">
      <c r="A294946" s="97" t="s">
        <v>128</v>
      </c>
    </row>
    <row r="294947" spans="1:1" x14ac:dyDescent="0.2">
      <c r="A294947" s="97" t="s">
        <v>129</v>
      </c>
    </row>
    <row r="294948" spans="1:1" x14ac:dyDescent="0.2">
      <c r="A294948" s="97" t="s">
        <v>130</v>
      </c>
    </row>
    <row r="294949" spans="1:1" x14ac:dyDescent="0.2">
      <c r="A294949" s="97" t="s">
        <v>131</v>
      </c>
    </row>
    <row r="294950" spans="1:1" x14ac:dyDescent="0.2">
      <c r="A294950" s="97" t="s">
        <v>132</v>
      </c>
    </row>
    <row r="294951" spans="1:1" x14ac:dyDescent="0.2">
      <c r="A294951" s="97" t="s">
        <v>133</v>
      </c>
    </row>
    <row r="294952" spans="1:1" x14ac:dyDescent="0.2">
      <c r="A294952" s="97" t="s">
        <v>134</v>
      </c>
    </row>
    <row r="294953" spans="1:1" x14ac:dyDescent="0.2">
      <c r="A294953" s="97" t="s">
        <v>135</v>
      </c>
    </row>
    <row r="294954" spans="1:1" x14ac:dyDescent="0.2">
      <c r="A294954" s="97" t="s">
        <v>136</v>
      </c>
    </row>
    <row r="294955" spans="1:1" x14ac:dyDescent="0.2">
      <c r="A294955" s="97" t="s">
        <v>137</v>
      </c>
    </row>
    <row r="294956" spans="1:1" x14ac:dyDescent="0.2">
      <c r="A294956" s="97" t="s">
        <v>138</v>
      </c>
    </row>
    <row r="294957" spans="1:1" x14ac:dyDescent="0.2">
      <c r="A294957" s="97" t="s">
        <v>139</v>
      </c>
    </row>
    <row r="294958" spans="1:1" x14ac:dyDescent="0.2">
      <c r="A294958" s="97" t="s">
        <v>140</v>
      </c>
    </row>
    <row r="294959" spans="1:1" x14ac:dyDescent="0.2">
      <c r="A294959" s="97" t="s">
        <v>141</v>
      </c>
    </row>
    <row r="294960" spans="1:1" x14ac:dyDescent="0.2">
      <c r="A294960" s="97" t="s">
        <v>142</v>
      </c>
    </row>
    <row r="294961" spans="1:1" x14ac:dyDescent="0.2">
      <c r="A294961" s="97" t="s">
        <v>143</v>
      </c>
    </row>
    <row r="294962" spans="1:1" x14ac:dyDescent="0.2">
      <c r="A294962" s="97" t="s">
        <v>144</v>
      </c>
    </row>
    <row r="294963" spans="1:1" x14ac:dyDescent="0.2">
      <c r="A294963" s="97" t="s">
        <v>145</v>
      </c>
    </row>
    <row r="294964" spans="1:1" x14ac:dyDescent="0.2">
      <c r="A294964" s="97" t="s">
        <v>146</v>
      </c>
    </row>
    <row r="294965" spans="1:1" x14ac:dyDescent="0.2">
      <c r="A294965" s="97" t="s">
        <v>147</v>
      </c>
    </row>
    <row r="294966" spans="1:1" x14ac:dyDescent="0.2">
      <c r="A294966" s="97" t="s">
        <v>148</v>
      </c>
    </row>
    <row r="294967" spans="1:1" x14ac:dyDescent="0.2">
      <c r="A294967" s="97" t="s">
        <v>149</v>
      </c>
    </row>
    <row r="294968" spans="1:1" x14ac:dyDescent="0.2">
      <c r="A294968" s="97" t="s">
        <v>150</v>
      </c>
    </row>
    <row r="294969" spans="1:1" x14ac:dyDescent="0.2">
      <c r="A294969" s="97" t="s">
        <v>151</v>
      </c>
    </row>
    <row r="294970" spans="1:1" x14ac:dyDescent="0.2">
      <c r="A294970" s="97" t="s">
        <v>152</v>
      </c>
    </row>
    <row r="294971" spans="1:1" x14ac:dyDescent="0.2">
      <c r="A294971" s="97" t="s">
        <v>153</v>
      </c>
    </row>
    <row r="294972" spans="1:1" x14ac:dyDescent="0.2">
      <c r="A294972" s="97" t="s">
        <v>154</v>
      </c>
    </row>
    <row r="294973" spans="1:1" x14ac:dyDescent="0.2">
      <c r="A294973" s="97" t="s">
        <v>155</v>
      </c>
    </row>
    <row r="294974" spans="1:1" x14ac:dyDescent="0.2">
      <c r="A294974" s="97" t="s">
        <v>156</v>
      </c>
    </row>
    <row r="294975" spans="1:1" x14ac:dyDescent="0.2">
      <c r="A294975" s="97" t="s">
        <v>157</v>
      </c>
    </row>
    <row r="294976" spans="1:1" x14ac:dyDescent="0.2">
      <c r="A294976" s="97" t="s">
        <v>158</v>
      </c>
    </row>
    <row r="294977" spans="1:1" x14ac:dyDescent="0.2">
      <c r="A294977" s="97" t="s">
        <v>159</v>
      </c>
    </row>
    <row r="294978" spans="1:1" x14ac:dyDescent="0.2">
      <c r="A294978" s="97" t="s">
        <v>160</v>
      </c>
    </row>
    <row r="294979" spans="1:1" x14ac:dyDescent="0.2">
      <c r="A294979" s="97" t="s">
        <v>161</v>
      </c>
    </row>
    <row r="294980" spans="1:1" x14ac:dyDescent="0.2">
      <c r="A294980" s="97" t="s">
        <v>162</v>
      </c>
    </row>
    <row r="294981" spans="1:1" x14ac:dyDescent="0.2">
      <c r="A294981" s="97" t="s">
        <v>163</v>
      </c>
    </row>
    <row r="294982" spans="1:1" x14ac:dyDescent="0.2">
      <c r="A294982" s="97" t="s">
        <v>164</v>
      </c>
    </row>
    <row r="294983" spans="1:1" x14ac:dyDescent="0.2">
      <c r="A294983" s="97" t="s">
        <v>165</v>
      </c>
    </row>
    <row r="294984" spans="1:1" x14ac:dyDescent="0.2">
      <c r="A294984" s="97" t="s">
        <v>166</v>
      </c>
    </row>
    <row r="294985" spans="1:1" x14ac:dyDescent="0.2">
      <c r="A294985" s="97" t="s">
        <v>167</v>
      </c>
    </row>
    <row r="294986" spans="1:1" x14ac:dyDescent="0.2">
      <c r="A294986" s="97" t="s">
        <v>168</v>
      </c>
    </row>
    <row r="294987" spans="1:1" x14ac:dyDescent="0.2">
      <c r="A294987" s="97" t="s">
        <v>169</v>
      </c>
    </row>
    <row r="294988" spans="1:1" x14ac:dyDescent="0.2">
      <c r="A294988" s="97" t="s">
        <v>170</v>
      </c>
    </row>
    <row r="294989" spans="1:1" x14ac:dyDescent="0.2">
      <c r="A294989" s="97" t="s">
        <v>171</v>
      </c>
    </row>
    <row r="294990" spans="1:1" x14ac:dyDescent="0.2">
      <c r="A294990" s="97" t="s">
        <v>172</v>
      </c>
    </row>
    <row r="294991" spans="1:1" x14ac:dyDescent="0.2">
      <c r="A294991" s="97" t="s">
        <v>173</v>
      </c>
    </row>
    <row r="294992" spans="1:1" x14ac:dyDescent="0.2">
      <c r="A294992" s="97" t="s">
        <v>174</v>
      </c>
    </row>
    <row r="294993" spans="1:1" x14ac:dyDescent="0.2">
      <c r="A294993" s="97" t="s">
        <v>175</v>
      </c>
    </row>
    <row r="294994" spans="1:1" x14ac:dyDescent="0.2">
      <c r="A294994" s="97" t="s">
        <v>176</v>
      </c>
    </row>
    <row r="294995" spans="1:1" x14ac:dyDescent="0.2">
      <c r="A294995" s="97" t="s">
        <v>177</v>
      </c>
    </row>
    <row r="294996" spans="1:1" x14ac:dyDescent="0.2">
      <c r="A294996" s="97" t="s">
        <v>178</v>
      </c>
    </row>
    <row r="294997" spans="1:1" x14ac:dyDescent="0.2">
      <c r="A294997" s="97" t="s">
        <v>179</v>
      </c>
    </row>
    <row r="294998" spans="1:1" x14ac:dyDescent="0.2">
      <c r="A294998" s="97" t="s">
        <v>180</v>
      </c>
    </row>
    <row r="294999" spans="1:1" x14ac:dyDescent="0.2">
      <c r="A294999" s="97" t="s">
        <v>181</v>
      </c>
    </row>
    <row r="295000" spans="1:1" x14ac:dyDescent="0.2">
      <c r="A295000" s="97" t="s">
        <v>182</v>
      </c>
    </row>
    <row r="295001" spans="1:1" x14ac:dyDescent="0.2">
      <c r="A295001" s="97" t="s">
        <v>183</v>
      </c>
    </row>
    <row r="311297" spans="1:1" x14ac:dyDescent="0.2">
      <c r="A311297" s="97" t="s">
        <v>95</v>
      </c>
    </row>
    <row r="311298" spans="1:1" x14ac:dyDescent="0.2">
      <c r="A311298" s="97" t="s">
        <v>96</v>
      </c>
    </row>
    <row r="311299" spans="1:1" x14ac:dyDescent="0.2">
      <c r="A311299" s="97" t="s">
        <v>97</v>
      </c>
    </row>
    <row r="311300" spans="1:1" x14ac:dyDescent="0.2">
      <c r="A311300" s="97" t="s">
        <v>98</v>
      </c>
    </row>
    <row r="311301" spans="1:1" x14ac:dyDescent="0.2">
      <c r="A311301" s="97" t="s">
        <v>99</v>
      </c>
    </row>
    <row r="311302" spans="1:1" x14ac:dyDescent="0.2">
      <c r="A311302" s="97" t="s">
        <v>100</v>
      </c>
    </row>
    <row r="311303" spans="1:1" x14ac:dyDescent="0.2">
      <c r="A311303" s="97" t="s">
        <v>101</v>
      </c>
    </row>
    <row r="311304" spans="1:1" x14ac:dyDescent="0.2">
      <c r="A311304" s="97" t="s">
        <v>102</v>
      </c>
    </row>
    <row r="311305" spans="1:1" x14ac:dyDescent="0.2">
      <c r="A311305" s="97" t="s">
        <v>103</v>
      </c>
    </row>
    <row r="311306" spans="1:1" x14ac:dyDescent="0.2">
      <c r="A311306" s="97" t="s">
        <v>104</v>
      </c>
    </row>
    <row r="311307" spans="1:1" x14ac:dyDescent="0.2">
      <c r="A311307" s="97" t="s">
        <v>105</v>
      </c>
    </row>
    <row r="311308" spans="1:1" x14ac:dyDescent="0.2">
      <c r="A311308" s="97" t="s">
        <v>106</v>
      </c>
    </row>
    <row r="311309" spans="1:1" x14ac:dyDescent="0.2">
      <c r="A311309" s="97" t="s">
        <v>107</v>
      </c>
    </row>
    <row r="311310" spans="1:1" x14ac:dyDescent="0.2">
      <c r="A311310" s="97" t="s">
        <v>108</v>
      </c>
    </row>
    <row r="311311" spans="1:1" x14ac:dyDescent="0.2">
      <c r="A311311" s="97" t="s">
        <v>109</v>
      </c>
    </row>
    <row r="311312" spans="1:1" x14ac:dyDescent="0.2">
      <c r="A311312" s="97" t="s">
        <v>110</v>
      </c>
    </row>
    <row r="311313" spans="1:1" x14ac:dyDescent="0.2">
      <c r="A311313" s="97" t="s">
        <v>111</v>
      </c>
    </row>
    <row r="311314" spans="1:1" x14ac:dyDescent="0.2">
      <c r="A311314" s="97" t="s">
        <v>112</v>
      </c>
    </row>
    <row r="311315" spans="1:1" x14ac:dyDescent="0.2">
      <c r="A311315" s="97" t="s">
        <v>113</v>
      </c>
    </row>
    <row r="311316" spans="1:1" x14ac:dyDescent="0.2">
      <c r="A311316" s="97" t="s">
        <v>114</v>
      </c>
    </row>
    <row r="311317" spans="1:1" x14ac:dyDescent="0.2">
      <c r="A311317" s="97" t="s">
        <v>115</v>
      </c>
    </row>
    <row r="311318" spans="1:1" x14ac:dyDescent="0.2">
      <c r="A311318" s="97" t="s">
        <v>116</v>
      </c>
    </row>
    <row r="311319" spans="1:1" x14ac:dyDescent="0.2">
      <c r="A311319" s="97" t="s">
        <v>117</v>
      </c>
    </row>
    <row r="311320" spans="1:1" x14ac:dyDescent="0.2">
      <c r="A311320" s="97" t="s">
        <v>118</v>
      </c>
    </row>
    <row r="311321" spans="1:1" x14ac:dyDescent="0.2">
      <c r="A311321" s="97" t="s">
        <v>119</v>
      </c>
    </row>
    <row r="311322" spans="1:1" x14ac:dyDescent="0.2">
      <c r="A311322" s="97" t="s">
        <v>120</v>
      </c>
    </row>
    <row r="311323" spans="1:1" x14ac:dyDescent="0.2">
      <c r="A311323" s="97" t="s">
        <v>121</v>
      </c>
    </row>
    <row r="311324" spans="1:1" x14ac:dyDescent="0.2">
      <c r="A311324" s="97" t="s">
        <v>122</v>
      </c>
    </row>
    <row r="311325" spans="1:1" x14ac:dyDescent="0.2">
      <c r="A311325" s="97" t="s">
        <v>123</v>
      </c>
    </row>
    <row r="311326" spans="1:1" x14ac:dyDescent="0.2">
      <c r="A311326" s="97" t="s">
        <v>124</v>
      </c>
    </row>
    <row r="311327" spans="1:1" x14ac:dyDescent="0.2">
      <c r="A311327" s="97" t="s">
        <v>125</v>
      </c>
    </row>
    <row r="311328" spans="1:1" x14ac:dyDescent="0.2">
      <c r="A311328" s="97" t="s">
        <v>126</v>
      </c>
    </row>
    <row r="311329" spans="1:1" x14ac:dyDescent="0.2">
      <c r="A311329" s="97" t="s">
        <v>127</v>
      </c>
    </row>
    <row r="311330" spans="1:1" x14ac:dyDescent="0.2">
      <c r="A311330" s="97" t="s">
        <v>128</v>
      </c>
    </row>
    <row r="311331" spans="1:1" x14ac:dyDescent="0.2">
      <c r="A311331" s="97" t="s">
        <v>129</v>
      </c>
    </row>
    <row r="311332" spans="1:1" x14ac:dyDescent="0.2">
      <c r="A311332" s="97" t="s">
        <v>130</v>
      </c>
    </row>
    <row r="311333" spans="1:1" x14ac:dyDescent="0.2">
      <c r="A311333" s="97" t="s">
        <v>131</v>
      </c>
    </row>
    <row r="311334" spans="1:1" x14ac:dyDescent="0.2">
      <c r="A311334" s="97" t="s">
        <v>132</v>
      </c>
    </row>
    <row r="311335" spans="1:1" x14ac:dyDescent="0.2">
      <c r="A311335" s="97" t="s">
        <v>133</v>
      </c>
    </row>
    <row r="311336" spans="1:1" x14ac:dyDescent="0.2">
      <c r="A311336" s="97" t="s">
        <v>134</v>
      </c>
    </row>
    <row r="311337" spans="1:1" x14ac:dyDescent="0.2">
      <c r="A311337" s="97" t="s">
        <v>135</v>
      </c>
    </row>
    <row r="311338" spans="1:1" x14ac:dyDescent="0.2">
      <c r="A311338" s="97" t="s">
        <v>136</v>
      </c>
    </row>
    <row r="311339" spans="1:1" x14ac:dyDescent="0.2">
      <c r="A311339" s="97" t="s">
        <v>137</v>
      </c>
    </row>
    <row r="311340" spans="1:1" x14ac:dyDescent="0.2">
      <c r="A311340" s="97" t="s">
        <v>138</v>
      </c>
    </row>
    <row r="311341" spans="1:1" x14ac:dyDescent="0.2">
      <c r="A311341" s="97" t="s">
        <v>139</v>
      </c>
    </row>
    <row r="311342" spans="1:1" x14ac:dyDescent="0.2">
      <c r="A311342" s="97" t="s">
        <v>140</v>
      </c>
    </row>
    <row r="311343" spans="1:1" x14ac:dyDescent="0.2">
      <c r="A311343" s="97" t="s">
        <v>141</v>
      </c>
    </row>
    <row r="311344" spans="1:1" x14ac:dyDescent="0.2">
      <c r="A311344" s="97" t="s">
        <v>142</v>
      </c>
    </row>
    <row r="311345" spans="1:1" x14ac:dyDescent="0.2">
      <c r="A311345" s="97" t="s">
        <v>143</v>
      </c>
    </row>
    <row r="311346" spans="1:1" x14ac:dyDescent="0.2">
      <c r="A311346" s="97" t="s">
        <v>144</v>
      </c>
    </row>
    <row r="311347" spans="1:1" x14ac:dyDescent="0.2">
      <c r="A311347" s="97" t="s">
        <v>145</v>
      </c>
    </row>
    <row r="311348" spans="1:1" x14ac:dyDescent="0.2">
      <c r="A311348" s="97" t="s">
        <v>146</v>
      </c>
    </row>
    <row r="311349" spans="1:1" x14ac:dyDescent="0.2">
      <c r="A311349" s="97" t="s">
        <v>147</v>
      </c>
    </row>
    <row r="311350" spans="1:1" x14ac:dyDescent="0.2">
      <c r="A311350" s="97" t="s">
        <v>148</v>
      </c>
    </row>
    <row r="311351" spans="1:1" x14ac:dyDescent="0.2">
      <c r="A311351" s="97" t="s">
        <v>149</v>
      </c>
    </row>
    <row r="311352" spans="1:1" x14ac:dyDescent="0.2">
      <c r="A311352" s="97" t="s">
        <v>150</v>
      </c>
    </row>
    <row r="311353" spans="1:1" x14ac:dyDescent="0.2">
      <c r="A311353" s="97" t="s">
        <v>151</v>
      </c>
    </row>
    <row r="311354" spans="1:1" x14ac:dyDescent="0.2">
      <c r="A311354" s="97" t="s">
        <v>152</v>
      </c>
    </row>
    <row r="311355" spans="1:1" x14ac:dyDescent="0.2">
      <c r="A311355" s="97" t="s">
        <v>153</v>
      </c>
    </row>
    <row r="311356" spans="1:1" x14ac:dyDescent="0.2">
      <c r="A311356" s="97" t="s">
        <v>154</v>
      </c>
    </row>
    <row r="311357" spans="1:1" x14ac:dyDescent="0.2">
      <c r="A311357" s="97" t="s">
        <v>155</v>
      </c>
    </row>
    <row r="311358" spans="1:1" x14ac:dyDescent="0.2">
      <c r="A311358" s="97" t="s">
        <v>156</v>
      </c>
    </row>
    <row r="311359" spans="1:1" x14ac:dyDescent="0.2">
      <c r="A311359" s="97" t="s">
        <v>157</v>
      </c>
    </row>
    <row r="311360" spans="1:1" x14ac:dyDescent="0.2">
      <c r="A311360" s="97" t="s">
        <v>158</v>
      </c>
    </row>
    <row r="311361" spans="1:1" x14ac:dyDescent="0.2">
      <c r="A311361" s="97" t="s">
        <v>159</v>
      </c>
    </row>
    <row r="311362" spans="1:1" x14ac:dyDescent="0.2">
      <c r="A311362" s="97" t="s">
        <v>160</v>
      </c>
    </row>
    <row r="311363" spans="1:1" x14ac:dyDescent="0.2">
      <c r="A311363" s="97" t="s">
        <v>161</v>
      </c>
    </row>
    <row r="311364" spans="1:1" x14ac:dyDescent="0.2">
      <c r="A311364" s="97" t="s">
        <v>162</v>
      </c>
    </row>
    <row r="311365" spans="1:1" x14ac:dyDescent="0.2">
      <c r="A311365" s="97" t="s">
        <v>163</v>
      </c>
    </row>
    <row r="311366" spans="1:1" x14ac:dyDescent="0.2">
      <c r="A311366" s="97" t="s">
        <v>164</v>
      </c>
    </row>
    <row r="311367" spans="1:1" x14ac:dyDescent="0.2">
      <c r="A311367" s="97" t="s">
        <v>165</v>
      </c>
    </row>
    <row r="311368" spans="1:1" x14ac:dyDescent="0.2">
      <c r="A311368" s="97" t="s">
        <v>166</v>
      </c>
    </row>
    <row r="311369" spans="1:1" x14ac:dyDescent="0.2">
      <c r="A311369" s="97" t="s">
        <v>167</v>
      </c>
    </row>
    <row r="311370" spans="1:1" x14ac:dyDescent="0.2">
      <c r="A311370" s="97" t="s">
        <v>168</v>
      </c>
    </row>
    <row r="311371" spans="1:1" x14ac:dyDescent="0.2">
      <c r="A311371" s="97" t="s">
        <v>169</v>
      </c>
    </row>
    <row r="311372" spans="1:1" x14ac:dyDescent="0.2">
      <c r="A311372" s="97" t="s">
        <v>170</v>
      </c>
    </row>
    <row r="311373" spans="1:1" x14ac:dyDescent="0.2">
      <c r="A311373" s="97" t="s">
        <v>171</v>
      </c>
    </row>
    <row r="311374" spans="1:1" x14ac:dyDescent="0.2">
      <c r="A311374" s="97" t="s">
        <v>172</v>
      </c>
    </row>
    <row r="311375" spans="1:1" x14ac:dyDescent="0.2">
      <c r="A311375" s="97" t="s">
        <v>173</v>
      </c>
    </row>
    <row r="311376" spans="1:1" x14ac:dyDescent="0.2">
      <c r="A311376" s="97" t="s">
        <v>174</v>
      </c>
    </row>
    <row r="311377" spans="1:1" x14ac:dyDescent="0.2">
      <c r="A311377" s="97" t="s">
        <v>175</v>
      </c>
    </row>
    <row r="311378" spans="1:1" x14ac:dyDescent="0.2">
      <c r="A311378" s="97" t="s">
        <v>176</v>
      </c>
    </row>
    <row r="311379" spans="1:1" x14ac:dyDescent="0.2">
      <c r="A311379" s="97" t="s">
        <v>177</v>
      </c>
    </row>
    <row r="311380" spans="1:1" x14ac:dyDescent="0.2">
      <c r="A311380" s="97" t="s">
        <v>178</v>
      </c>
    </row>
    <row r="311381" spans="1:1" x14ac:dyDescent="0.2">
      <c r="A311381" s="97" t="s">
        <v>179</v>
      </c>
    </row>
    <row r="311382" spans="1:1" x14ac:dyDescent="0.2">
      <c r="A311382" s="97" t="s">
        <v>180</v>
      </c>
    </row>
    <row r="311383" spans="1:1" x14ac:dyDescent="0.2">
      <c r="A311383" s="97" t="s">
        <v>181</v>
      </c>
    </row>
    <row r="311384" spans="1:1" x14ac:dyDescent="0.2">
      <c r="A311384" s="97" t="s">
        <v>182</v>
      </c>
    </row>
    <row r="311385" spans="1:1" x14ac:dyDescent="0.2">
      <c r="A311385" s="97" t="s">
        <v>183</v>
      </c>
    </row>
    <row r="327681" spans="1:1" x14ac:dyDescent="0.2">
      <c r="A327681" s="97" t="s">
        <v>95</v>
      </c>
    </row>
    <row r="327682" spans="1:1" x14ac:dyDescent="0.2">
      <c r="A327682" s="97" t="s">
        <v>96</v>
      </c>
    </row>
    <row r="327683" spans="1:1" x14ac:dyDescent="0.2">
      <c r="A327683" s="97" t="s">
        <v>97</v>
      </c>
    </row>
    <row r="327684" spans="1:1" x14ac:dyDescent="0.2">
      <c r="A327684" s="97" t="s">
        <v>98</v>
      </c>
    </row>
    <row r="327685" spans="1:1" x14ac:dyDescent="0.2">
      <c r="A327685" s="97" t="s">
        <v>99</v>
      </c>
    </row>
    <row r="327686" spans="1:1" x14ac:dyDescent="0.2">
      <c r="A327686" s="97" t="s">
        <v>100</v>
      </c>
    </row>
    <row r="327687" spans="1:1" x14ac:dyDescent="0.2">
      <c r="A327687" s="97" t="s">
        <v>101</v>
      </c>
    </row>
    <row r="327688" spans="1:1" x14ac:dyDescent="0.2">
      <c r="A327688" s="97" t="s">
        <v>102</v>
      </c>
    </row>
    <row r="327689" spans="1:1" x14ac:dyDescent="0.2">
      <c r="A327689" s="97" t="s">
        <v>103</v>
      </c>
    </row>
    <row r="327690" spans="1:1" x14ac:dyDescent="0.2">
      <c r="A327690" s="97" t="s">
        <v>104</v>
      </c>
    </row>
    <row r="327691" spans="1:1" x14ac:dyDescent="0.2">
      <c r="A327691" s="97" t="s">
        <v>105</v>
      </c>
    </row>
    <row r="327692" spans="1:1" x14ac:dyDescent="0.2">
      <c r="A327692" s="97" t="s">
        <v>106</v>
      </c>
    </row>
    <row r="327693" spans="1:1" x14ac:dyDescent="0.2">
      <c r="A327693" s="97" t="s">
        <v>107</v>
      </c>
    </row>
    <row r="327694" spans="1:1" x14ac:dyDescent="0.2">
      <c r="A327694" s="97" t="s">
        <v>108</v>
      </c>
    </row>
    <row r="327695" spans="1:1" x14ac:dyDescent="0.2">
      <c r="A327695" s="97" t="s">
        <v>109</v>
      </c>
    </row>
    <row r="327696" spans="1:1" x14ac:dyDescent="0.2">
      <c r="A327696" s="97" t="s">
        <v>110</v>
      </c>
    </row>
    <row r="327697" spans="1:1" x14ac:dyDescent="0.2">
      <c r="A327697" s="97" t="s">
        <v>111</v>
      </c>
    </row>
    <row r="327698" spans="1:1" x14ac:dyDescent="0.2">
      <c r="A327698" s="97" t="s">
        <v>112</v>
      </c>
    </row>
    <row r="327699" spans="1:1" x14ac:dyDescent="0.2">
      <c r="A327699" s="97" t="s">
        <v>113</v>
      </c>
    </row>
    <row r="327700" spans="1:1" x14ac:dyDescent="0.2">
      <c r="A327700" s="97" t="s">
        <v>114</v>
      </c>
    </row>
    <row r="327701" spans="1:1" x14ac:dyDescent="0.2">
      <c r="A327701" s="97" t="s">
        <v>115</v>
      </c>
    </row>
    <row r="327702" spans="1:1" x14ac:dyDescent="0.2">
      <c r="A327702" s="97" t="s">
        <v>116</v>
      </c>
    </row>
    <row r="327703" spans="1:1" x14ac:dyDescent="0.2">
      <c r="A327703" s="97" t="s">
        <v>117</v>
      </c>
    </row>
    <row r="327704" spans="1:1" x14ac:dyDescent="0.2">
      <c r="A327704" s="97" t="s">
        <v>118</v>
      </c>
    </row>
    <row r="327705" spans="1:1" x14ac:dyDescent="0.2">
      <c r="A327705" s="97" t="s">
        <v>119</v>
      </c>
    </row>
    <row r="327706" spans="1:1" x14ac:dyDescent="0.2">
      <c r="A327706" s="97" t="s">
        <v>120</v>
      </c>
    </row>
    <row r="327707" spans="1:1" x14ac:dyDescent="0.2">
      <c r="A327707" s="97" t="s">
        <v>121</v>
      </c>
    </row>
    <row r="327708" spans="1:1" x14ac:dyDescent="0.2">
      <c r="A327708" s="97" t="s">
        <v>122</v>
      </c>
    </row>
    <row r="327709" spans="1:1" x14ac:dyDescent="0.2">
      <c r="A327709" s="97" t="s">
        <v>123</v>
      </c>
    </row>
    <row r="327710" spans="1:1" x14ac:dyDescent="0.2">
      <c r="A327710" s="97" t="s">
        <v>124</v>
      </c>
    </row>
    <row r="327711" spans="1:1" x14ac:dyDescent="0.2">
      <c r="A327711" s="97" t="s">
        <v>125</v>
      </c>
    </row>
    <row r="327712" spans="1:1" x14ac:dyDescent="0.2">
      <c r="A327712" s="97" t="s">
        <v>126</v>
      </c>
    </row>
    <row r="327713" spans="1:1" x14ac:dyDescent="0.2">
      <c r="A327713" s="97" t="s">
        <v>127</v>
      </c>
    </row>
    <row r="327714" spans="1:1" x14ac:dyDescent="0.2">
      <c r="A327714" s="97" t="s">
        <v>128</v>
      </c>
    </row>
    <row r="327715" spans="1:1" x14ac:dyDescent="0.2">
      <c r="A327715" s="97" t="s">
        <v>129</v>
      </c>
    </row>
    <row r="327716" spans="1:1" x14ac:dyDescent="0.2">
      <c r="A327716" s="97" t="s">
        <v>130</v>
      </c>
    </row>
    <row r="327717" spans="1:1" x14ac:dyDescent="0.2">
      <c r="A327717" s="97" t="s">
        <v>131</v>
      </c>
    </row>
    <row r="327718" spans="1:1" x14ac:dyDescent="0.2">
      <c r="A327718" s="97" t="s">
        <v>132</v>
      </c>
    </row>
    <row r="327719" spans="1:1" x14ac:dyDescent="0.2">
      <c r="A327719" s="97" t="s">
        <v>133</v>
      </c>
    </row>
    <row r="327720" spans="1:1" x14ac:dyDescent="0.2">
      <c r="A327720" s="97" t="s">
        <v>134</v>
      </c>
    </row>
    <row r="327721" spans="1:1" x14ac:dyDescent="0.2">
      <c r="A327721" s="97" t="s">
        <v>135</v>
      </c>
    </row>
    <row r="327722" spans="1:1" x14ac:dyDescent="0.2">
      <c r="A327722" s="97" t="s">
        <v>136</v>
      </c>
    </row>
    <row r="327723" spans="1:1" x14ac:dyDescent="0.2">
      <c r="A327723" s="97" t="s">
        <v>137</v>
      </c>
    </row>
    <row r="327724" spans="1:1" x14ac:dyDescent="0.2">
      <c r="A327724" s="97" t="s">
        <v>138</v>
      </c>
    </row>
    <row r="327725" spans="1:1" x14ac:dyDescent="0.2">
      <c r="A327725" s="97" t="s">
        <v>139</v>
      </c>
    </row>
    <row r="327726" spans="1:1" x14ac:dyDescent="0.2">
      <c r="A327726" s="97" t="s">
        <v>140</v>
      </c>
    </row>
    <row r="327727" spans="1:1" x14ac:dyDescent="0.2">
      <c r="A327727" s="97" t="s">
        <v>141</v>
      </c>
    </row>
    <row r="327728" spans="1:1" x14ac:dyDescent="0.2">
      <c r="A327728" s="97" t="s">
        <v>142</v>
      </c>
    </row>
    <row r="327729" spans="1:1" x14ac:dyDescent="0.2">
      <c r="A327729" s="97" t="s">
        <v>143</v>
      </c>
    </row>
    <row r="327730" spans="1:1" x14ac:dyDescent="0.2">
      <c r="A327730" s="97" t="s">
        <v>144</v>
      </c>
    </row>
    <row r="327731" spans="1:1" x14ac:dyDescent="0.2">
      <c r="A327731" s="97" t="s">
        <v>145</v>
      </c>
    </row>
    <row r="327732" spans="1:1" x14ac:dyDescent="0.2">
      <c r="A327732" s="97" t="s">
        <v>146</v>
      </c>
    </row>
    <row r="327733" spans="1:1" x14ac:dyDescent="0.2">
      <c r="A327733" s="97" t="s">
        <v>147</v>
      </c>
    </row>
    <row r="327734" spans="1:1" x14ac:dyDescent="0.2">
      <c r="A327734" s="97" t="s">
        <v>148</v>
      </c>
    </row>
    <row r="327735" spans="1:1" x14ac:dyDescent="0.2">
      <c r="A327735" s="97" t="s">
        <v>149</v>
      </c>
    </row>
    <row r="327736" spans="1:1" x14ac:dyDescent="0.2">
      <c r="A327736" s="97" t="s">
        <v>150</v>
      </c>
    </row>
    <row r="327737" spans="1:1" x14ac:dyDescent="0.2">
      <c r="A327737" s="97" t="s">
        <v>151</v>
      </c>
    </row>
    <row r="327738" spans="1:1" x14ac:dyDescent="0.2">
      <c r="A327738" s="97" t="s">
        <v>152</v>
      </c>
    </row>
    <row r="327739" spans="1:1" x14ac:dyDescent="0.2">
      <c r="A327739" s="97" t="s">
        <v>153</v>
      </c>
    </row>
    <row r="327740" spans="1:1" x14ac:dyDescent="0.2">
      <c r="A327740" s="97" t="s">
        <v>154</v>
      </c>
    </row>
    <row r="327741" spans="1:1" x14ac:dyDescent="0.2">
      <c r="A327741" s="97" t="s">
        <v>155</v>
      </c>
    </row>
    <row r="327742" spans="1:1" x14ac:dyDescent="0.2">
      <c r="A327742" s="97" t="s">
        <v>156</v>
      </c>
    </row>
    <row r="327743" spans="1:1" x14ac:dyDescent="0.2">
      <c r="A327743" s="97" t="s">
        <v>157</v>
      </c>
    </row>
    <row r="327744" spans="1:1" x14ac:dyDescent="0.2">
      <c r="A327744" s="97" t="s">
        <v>158</v>
      </c>
    </row>
    <row r="327745" spans="1:1" x14ac:dyDescent="0.2">
      <c r="A327745" s="97" t="s">
        <v>159</v>
      </c>
    </row>
    <row r="327746" spans="1:1" x14ac:dyDescent="0.2">
      <c r="A327746" s="97" t="s">
        <v>160</v>
      </c>
    </row>
    <row r="327747" spans="1:1" x14ac:dyDescent="0.2">
      <c r="A327747" s="97" t="s">
        <v>161</v>
      </c>
    </row>
    <row r="327748" spans="1:1" x14ac:dyDescent="0.2">
      <c r="A327748" s="97" t="s">
        <v>162</v>
      </c>
    </row>
    <row r="327749" spans="1:1" x14ac:dyDescent="0.2">
      <c r="A327749" s="97" t="s">
        <v>163</v>
      </c>
    </row>
    <row r="327750" spans="1:1" x14ac:dyDescent="0.2">
      <c r="A327750" s="97" t="s">
        <v>164</v>
      </c>
    </row>
    <row r="327751" spans="1:1" x14ac:dyDescent="0.2">
      <c r="A327751" s="97" t="s">
        <v>165</v>
      </c>
    </row>
    <row r="327752" spans="1:1" x14ac:dyDescent="0.2">
      <c r="A327752" s="97" t="s">
        <v>166</v>
      </c>
    </row>
    <row r="327753" spans="1:1" x14ac:dyDescent="0.2">
      <c r="A327753" s="97" t="s">
        <v>167</v>
      </c>
    </row>
    <row r="327754" spans="1:1" x14ac:dyDescent="0.2">
      <c r="A327754" s="97" t="s">
        <v>168</v>
      </c>
    </row>
    <row r="327755" spans="1:1" x14ac:dyDescent="0.2">
      <c r="A327755" s="97" t="s">
        <v>169</v>
      </c>
    </row>
    <row r="327756" spans="1:1" x14ac:dyDescent="0.2">
      <c r="A327756" s="97" t="s">
        <v>170</v>
      </c>
    </row>
    <row r="327757" spans="1:1" x14ac:dyDescent="0.2">
      <c r="A327757" s="97" t="s">
        <v>171</v>
      </c>
    </row>
    <row r="327758" spans="1:1" x14ac:dyDescent="0.2">
      <c r="A327758" s="97" t="s">
        <v>172</v>
      </c>
    </row>
    <row r="327759" spans="1:1" x14ac:dyDescent="0.2">
      <c r="A327759" s="97" t="s">
        <v>173</v>
      </c>
    </row>
    <row r="327760" spans="1:1" x14ac:dyDescent="0.2">
      <c r="A327760" s="97" t="s">
        <v>174</v>
      </c>
    </row>
    <row r="327761" spans="1:1" x14ac:dyDescent="0.2">
      <c r="A327761" s="97" t="s">
        <v>175</v>
      </c>
    </row>
    <row r="327762" spans="1:1" x14ac:dyDescent="0.2">
      <c r="A327762" s="97" t="s">
        <v>176</v>
      </c>
    </row>
    <row r="327763" spans="1:1" x14ac:dyDescent="0.2">
      <c r="A327763" s="97" t="s">
        <v>177</v>
      </c>
    </row>
    <row r="327764" spans="1:1" x14ac:dyDescent="0.2">
      <c r="A327764" s="97" t="s">
        <v>178</v>
      </c>
    </row>
    <row r="327765" spans="1:1" x14ac:dyDescent="0.2">
      <c r="A327765" s="97" t="s">
        <v>179</v>
      </c>
    </row>
    <row r="327766" spans="1:1" x14ac:dyDescent="0.2">
      <c r="A327766" s="97" t="s">
        <v>180</v>
      </c>
    </row>
    <row r="327767" spans="1:1" x14ac:dyDescent="0.2">
      <c r="A327767" s="97" t="s">
        <v>181</v>
      </c>
    </row>
    <row r="327768" spans="1:1" x14ac:dyDescent="0.2">
      <c r="A327768" s="97" t="s">
        <v>182</v>
      </c>
    </row>
    <row r="327769" spans="1:1" x14ac:dyDescent="0.2">
      <c r="A327769" s="97" t="s">
        <v>183</v>
      </c>
    </row>
    <row r="344065" spans="1:1" x14ac:dyDescent="0.2">
      <c r="A344065" s="97" t="s">
        <v>95</v>
      </c>
    </row>
    <row r="344066" spans="1:1" x14ac:dyDescent="0.2">
      <c r="A344066" s="97" t="s">
        <v>96</v>
      </c>
    </row>
    <row r="344067" spans="1:1" x14ac:dyDescent="0.2">
      <c r="A344067" s="97" t="s">
        <v>97</v>
      </c>
    </row>
    <row r="344068" spans="1:1" x14ac:dyDescent="0.2">
      <c r="A344068" s="97" t="s">
        <v>98</v>
      </c>
    </row>
    <row r="344069" spans="1:1" x14ac:dyDescent="0.2">
      <c r="A344069" s="97" t="s">
        <v>99</v>
      </c>
    </row>
    <row r="344070" spans="1:1" x14ac:dyDescent="0.2">
      <c r="A344070" s="97" t="s">
        <v>100</v>
      </c>
    </row>
    <row r="344071" spans="1:1" x14ac:dyDescent="0.2">
      <c r="A344071" s="97" t="s">
        <v>101</v>
      </c>
    </row>
    <row r="344072" spans="1:1" x14ac:dyDescent="0.2">
      <c r="A344072" s="97" t="s">
        <v>102</v>
      </c>
    </row>
    <row r="344073" spans="1:1" x14ac:dyDescent="0.2">
      <c r="A344073" s="97" t="s">
        <v>103</v>
      </c>
    </row>
    <row r="344074" spans="1:1" x14ac:dyDescent="0.2">
      <c r="A344074" s="97" t="s">
        <v>104</v>
      </c>
    </row>
    <row r="344075" spans="1:1" x14ac:dyDescent="0.2">
      <c r="A344075" s="97" t="s">
        <v>105</v>
      </c>
    </row>
    <row r="344076" spans="1:1" x14ac:dyDescent="0.2">
      <c r="A344076" s="97" t="s">
        <v>106</v>
      </c>
    </row>
    <row r="344077" spans="1:1" x14ac:dyDescent="0.2">
      <c r="A344077" s="97" t="s">
        <v>107</v>
      </c>
    </row>
    <row r="344078" spans="1:1" x14ac:dyDescent="0.2">
      <c r="A344078" s="97" t="s">
        <v>108</v>
      </c>
    </row>
    <row r="344079" spans="1:1" x14ac:dyDescent="0.2">
      <c r="A344079" s="97" t="s">
        <v>109</v>
      </c>
    </row>
    <row r="344080" spans="1:1" x14ac:dyDescent="0.2">
      <c r="A344080" s="97" t="s">
        <v>110</v>
      </c>
    </row>
    <row r="344081" spans="1:1" x14ac:dyDescent="0.2">
      <c r="A344081" s="97" t="s">
        <v>111</v>
      </c>
    </row>
    <row r="344082" spans="1:1" x14ac:dyDescent="0.2">
      <c r="A344082" s="97" t="s">
        <v>112</v>
      </c>
    </row>
    <row r="344083" spans="1:1" x14ac:dyDescent="0.2">
      <c r="A344083" s="97" t="s">
        <v>113</v>
      </c>
    </row>
    <row r="344084" spans="1:1" x14ac:dyDescent="0.2">
      <c r="A344084" s="97" t="s">
        <v>114</v>
      </c>
    </row>
    <row r="344085" spans="1:1" x14ac:dyDescent="0.2">
      <c r="A344085" s="97" t="s">
        <v>115</v>
      </c>
    </row>
    <row r="344086" spans="1:1" x14ac:dyDescent="0.2">
      <c r="A344086" s="97" t="s">
        <v>116</v>
      </c>
    </row>
    <row r="344087" spans="1:1" x14ac:dyDescent="0.2">
      <c r="A344087" s="97" t="s">
        <v>117</v>
      </c>
    </row>
    <row r="344088" spans="1:1" x14ac:dyDescent="0.2">
      <c r="A344088" s="97" t="s">
        <v>118</v>
      </c>
    </row>
    <row r="344089" spans="1:1" x14ac:dyDescent="0.2">
      <c r="A344089" s="97" t="s">
        <v>119</v>
      </c>
    </row>
    <row r="344090" spans="1:1" x14ac:dyDescent="0.2">
      <c r="A344090" s="97" t="s">
        <v>120</v>
      </c>
    </row>
    <row r="344091" spans="1:1" x14ac:dyDescent="0.2">
      <c r="A344091" s="97" t="s">
        <v>121</v>
      </c>
    </row>
    <row r="344092" spans="1:1" x14ac:dyDescent="0.2">
      <c r="A344092" s="97" t="s">
        <v>122</v>
      </c>
    </row>
    <row r="344093" spans="1:1" x14ac:dyDescent="0.2">
      <c r="A344093" s="97" t="s">
        <v>123</v>
      </c>
    </row>
    <row r="344094" spans="1:1" x14ac:dyDescent="0.2">
      <c r="A344094" s="97" t="s">
        <v>124</v>
      </c>
    </row>
    <row r="344095" spans="1:1" x14ac:dyDescent="0.2">
      <c r="A344095" s="97" t="s">
        <v>125</v>
      </c>
    </row>
    <row r="344096" spans="1:1" x14ac:dyDescent="0.2">
      <c r="A344096" s="97" t="s">
        <v>126</v>
      </c>
    </row>
    <row r="344097" spans="1:1" x14ac:dyDescent="0.2">
      <c r="A344097" s="97" t="s">
        <v>127</v>
      </c>
    </row>
    <row r="344098" spans="1:1" x14ac:dyDescent="0.2">
      <c r="A344098" s="97" t="s">
        <v>128</v>
      </c>
    </row>
    <row r="344099" spans="1:1" x14ac:dyDescent="0.2">
      <c r="A344099" s="97" t="s">
        <v>129</v>
      </c>
    </row>
    <row r="344100" spans="1:1" x14ac:dyDescent="0.2">
      <c r="A344100" s="97" t="s">
        <v>130</v>
      </c>
    </row>
    <row r="344101" spans="1:1" x14ac:dyDescent="0.2">
      <c r="A344101" s="97" t="s">
        <v>131</v>
      </c>
    </row>
    <row r="344102" spans="1:1" x14ac:dyDescent="0.2">
      <c r="A344102" s="97" t="s">
        <v>132</v>
      </c>
    </row>
    <row r="344103" spans="1:1" x14ac:dyDescent="0.2">
      <c r="A344103" s="97" t="s">
        <v>133</v>
      </c>
    </row>
    <row r="344104" spans="1:1" x14ac:dyDescent="0.2">
      <c r="A344104" s="97" t="s">
        <v>134</v>
      </c>
    </row>
    <row r="344105" spans="1:1" x14ac:dyDescent="0.2">
      <c r="A344105" s="97" t="s">
        <v>135</v>
      </c>
    </row>
    <row r="344106" spans="1:1" x14ac:dyDescent="0.2">
      <c r="A344106" s="97" t="s">
        <v>136</v>
      </c>
    </row>
    <row r="344107" spans="1:1" x14ac:dyDescent="0.2">
      <c r="A344107" s="97" t="s">
        <v>137</v>
      </c>
    </row>
    <row r="344108" spans="1:1" x14ac:dyDescent="0.2">
      <c r="A344108" s="97" t="s">
        <v>138</v>
      </c>
    </row>
    <row r="344109" spans="1:1" x14ac:dyDescent="0.2">
      <c r="A344109" s="97" t="s">
        <v>139</v>
      </c>
    </row>
    <row r="344110" spans="1:1" x14ac:dyDescent="0.2">
      <c r="A344110" s="97" t="s">
        <v>140</v>
      </c>
    </row>
    <row r="344111" spans="1:1" x14ac:dyDescent="0.2">
      <c r="A344111" s="97" t="s">
        <v>141</v>
      </c>
    </row>
    <row r="344112" spans="1:1" x14ac:dyDescent="0.2">
      <c r="A344112" s="97" t="s">
        <v>142</v>
      </c>
    </row>
    <row r="344113" spans="1:1" x14ac:dyDescent="0.2">
      <c r="A344113" s="97" t="s">
        <v>143</v>
      </c>
    </row>
    <row r="344114" spans="1:1" x14ac:dyDescent="0.2">
      <c r="A344114" s="97" t="s">
        <v>144</v>
      </c>
    </row>
    <row r="344115" spans="1:1" x14ac:dyDescent="0.2">
      <c r="A344115" s="97" t="s">
        <v>145</v>
      </c>
    </row>
    <row r="344116" spans="1:1" x14ac:dyDescent="0.2">
      <c r="A344116" s="97" t="s">
        <v>146</v>
      </c>
    </row>
    <row r="344117" spans="1:1" x14ac:dyDescent="0.2">
      <c r="A344117" s="97" t="s">
        <v>147</v>
      </c>
    </row>
    <row r="344118" spans="1:1" x14ac:dyDescent="0.2">
      <c r="A344118" s="97" t="s">
        <v>148</v>
      </c>
    </row>
    <row r="344119" spans="1:1" x14ac:dyDescent="0.2">
      <c r="A344119" s="97" t="s">
        <v>149</v>
      </c>
    </row>
    <row r="344120" spans="1:1" x14ac:dyDescent="0.2">
      <c r="A344120" s="97" t="s">
        <v>150</v>
      </c>
    </row>
    <row r="344121" spans="1:1" x14ac:dyDescent="0.2">
      <c r="A344121" s="97" t="s">
        <v>151</v>
      </c>
    </row>
    <row r="344122" spans="1:1" x14ac:dyDescent="0.2">
      <c r="A344122" s="97" t="s">
        <v>152</v>
      </c>
    </row>
    <row r="344123" spans="1:1" x14ac:dyDescent="0.2">
      <c r="A344123" s="97" t="s">
        <v>153</v>
      </c>
    </row>
    <row r="344124" spans="1:1" x14ac:dyDescent="0.2">
      <c r="A344124" s="97" t="s">
        <v>154</v>
      </c>
    </row>
    <row r="344125" spans="1:1" x14ac:dyDescent="0.2">
      <c r="A344125" s="97" t="s">
        <v>155</v>
      </c>
    </row>
    <row r="344126" spans="1:1" x14ac:dyDescent="0.2">
      <c r="A344126" s="97" t="s">
        <v>156</v>
      </c>
    </row>
    <row r="344127" spans="1:1" x14ac:dyDescent="0.2">
      <c r="A344127" s="97" t="s">
        <v>157</v>
      </c>
    </row>
    <row r="344128" spans="1:1" x14ac:dyDescent="0.2">
      <c r="A344128" s="97" t="s">
        <v>158</v>
      </c>
    </row>
    <row r="344129" spans="1:1" x14ac:dyDescent="0.2">
      <c r="A344129" s="97" t="s">
        <v>159</v>
      </c>
    </row>
    <row r="344130" spans="1:1" x14ac:dyDescent="0.2">
      <c r="A344130" s="97" t="s">
        <v>160</v>
      </c>
    </row>
    <row r="344131" spans="1:1" x14ac:dyDescent="0.2">
      <c r="A344131" s="97" t="s">
        <v>161</v>
      </c>
    </row>
    <row r="344132" spans="1:1" x14ac:dyDescent="0.2">
      <c r="A344132" s="97" t="s">
        <v>162</v>
      </c>
    </row>
    <row r="344133" spans="1:1" x14ac:dyDescent="0.2">
      <c r="A344133" s="97" t="s">
        <v>163</v>
      </c>
    </row>
    <row r="344134" spans="1:1" x14ac:dyDescent="0.2">
      <c r="A344134" s="97" t="s">
        <v>164</v>
      </c>
    </row>
    <row r="344135" spans="1:1" x14ac:dyDescent="0.2">
      <c r="A344135" s="97" t="s">
        <v>165</v>
      </c>
    </row>
    <row r="344136" spans="1:1" x14ac:dyDescent="0.2">
      <c r="A344136" s="97" t="s">
        <v>166</v>
      </c>
    </row>
    <row r="344137" spans="1:1" x14ac:dyDescent="0.2">
      <c r="A344137" s="97" t="s">
        <v>167</v>
      </c>
    </row>
    <row r="344138" spans="1:1" x14ac:dyDescent="0.2">
      <c r="A344138" s="97" t="s">
        <v>168</v>
      </c>
    </row>
    <row r="344139" spans="1:1" x14ac:dyDescent="0.2">
      <c r="A344139" s="97" t="s">
        <v>169</v>
      </c>
    </row>
    <row r="344140" spans="1:1" x14ac:dyDescent="0.2">
      <c r="A344140" s="97" t="s">
        <v>170</v>
      </c>
    </row>
    <row r="344141" spans="1:1" x14ac:dyDescent="0.2">
      <c r="A344141" s="97" t="s">
        <v>171</v>
      </c>
    </row>
    <row r="344142" spans="1:1" x14ac:dyDescent="0.2">
      <c r="A344142" s="97" t="s">
        <v>172</v>
      </c>
    </row>
    <row r="344143" spans="1:1" x14ac:dyDescent="0.2">
      <c r="A344143" s="97" t="s">
        <v>173</v>
      </c>
    </row>
    <row r="344144" spans="1:1" x14ac:dyDescent="0.2">
      <c r="A344144" s="97" t="s">
        <v>174</v>
      </c>
    </row>
    <row r="344145" spans="1:1" x14ac:dyDescent="0.2">
      <c r="A344145" s="97" t="s">
        <v>175</v>
      </c>
    </row>
    <row r="344146" spans="1:1" x14ac:dyDescent="0.2">
      <c r="A344146" s="97" t="s">
        <v>176</v>
      </c>
    </row>
    <row r="344147" spans="1:1" x14ac:dyDescent="0.2">
      <c r="A344147" s="97" t="s">
        <v>177</v>
      </c>
    </row>
    <row r="344148" spans="1:1" x14ac:dyDescent="0.2">
      <c r="A344148" s="97" t="s">
        <v>178</v>
      </c>
    </row>
    <row r="344149" spans="1:1" x14ac:dyDescent="0.2">
      <c r="A344149" s="97" t="s">
        <v>179</v>
      </c>
    </row>
    <row r="344150" spans="1:1" x14ac:dyDescent="0.2">
      <c r="A344150" s="97" t="s">
        <v>180</v>
      </c>
    </row>
    <row r="344151" spans="1:1" x14ac:dyDescent="0.2">
      <c r="A344151" s="97" t="s">
        <v>181</v>
      </c>
    </row>
    <row r="344152" spans="1:1" x14ac:dyDescent="0.2">
      <c r="A344152" s="97" t="s">
        <v>182</v>
      </c>
    </row>
    <row r="344153" spans="1:1" x14ac:dyDescent="0.2">
      <c r="A344153" s="97" t="s">
        <v>183</v>
      </c>
    </row>
    <row r="360449" spans="1:1" x14ac:dyDescent="0.2">
      <c r="A360449" s="97" t="s">
        <v>95</v>
      </c>
    </row>
    <row r="360450" spans="1:1" x14ac:dyDescent="0.2">
      <c r="A360450" s="97" t="s">
        <v>96</v>
      </c>
    </row>
    <row r="360451" spans="1:1" x14ac:dyDescent="0.2">
      <c r="A360451" s="97" t="s">
        <v>97</v>
      </c>
    </row>
    <row r="360452" spans="1:1" x14ac:dyDescent="0.2">
      <c r="A360452" s="97" t="s">
        <v>98</v>
      </c>
    </row>
    <row r="360453" spans="1:1" x14ac:dyDescent="0.2">
      <c r="A360453" s="97" t="s">
        <v>99</v>
      </c>
    </row>
    <row r="360454" spans="1:1" x14ac:dyDescent="0.2">
      <c r="A360454" s="97" t="s">
        <v>100</v>
      </c>
    </row>
    <row r="360455" spans="1:1" x14ac:dyDescent="0.2">
      <c r="A360455" s="97" t="s">
        <v>101</v>
      </c>
    </row>
    <row r="360456" spans="1:1" x14ac:dyDescent="0.2">
      <c r="A360456" s="97" t="s">
        <v>102</v>
      </c>
    </row>
    <row r="360457" spans="1:1" x14ac:dyDescent="0.2">
      <c r="A360457" s="97" t="s">
        <v>103</v>
      </c>
    </row>
    <row r="360458" spans="1:1" x14ac:dyDescent="0.2">
      <c r="A360458" s="97" t="s">
        <v>104</v>
      </c>
    </row>
    <row r="360459" spans="1:1" x14ac:dyDescent="0.2">
      <c r="A360459" s="97" t="s">
        <v>105</v>
      </c>
    </row>
    <row r="360460" spans="1:1" x14ac:dyDescent="0.2">
      <c r="A360460" s="97" t="s">
        <v>106</v>
      </c>
    </row>
    <row r="360461" spans="1:1" x14ac:dyDescent="0.2">
      <c r="A360461" s="97" t="s">
        <v>107</v>
      </c>
    </row>
    <row r="360462" spans="1:1" x14ac:dyDescent="0.2">
      <c r="A360462" s="97" t="s">
        <v>108</v>
      </c>
    </row>
    <row r="360463" spans="1:1" x14ac:dyDescent="0.2">
      <c r="A360463" s="97" t="s">
        <v>109</v>
      </c>
    </row>
    <row r="360464" spans="1:1" x14ac:dyDescent="0.2">
      <c r="A360464" s="97" t="s">
        <v>110</v>
      </c>
    </row>
    <row r="360465" spans="1:1" x14ac:dyDescent="0.2">
      <c r="A360465" s="97" t="s">
        <v>111</v>
      </c>
    </row>
    <row r="360466" spans="1:1" x14ac:dyDescent="0.2">
      <c r="A360466" s="97" t="s">
        <v>112</v>
      </c>
    </row>
    <row r="360467" spans="1:1" x14ac:dyDescent="0.2">
      <c r="A360467" s="97" t="s">
        <v>113</v>
      </c>
    </row>
    <row r="360468" spans="1:1" x14ac:dyDescent="0.2">
      <c r="A360468" s="97" t="s">
        <v>114</v>
      </c>
    </row>
    <row r="360469" spans="1:1" x14ac:dyDescent="0.2">
      <c r="A360469" s="97" t="s">
        <v>115</v>
      </c>
    </row>
    <row r="360470" spans="1:1" x14ac:dyDescent="0.2">
      <c r="A360470" s="97" t="s">
        <v>116</v>
      </c>
    </row>
    <row r="360471" spans="1:1" x14ac:dyDescent="0.2">
      <c r="A360471" s="97" t="s">
        <v>117</v>
      </c>
    </row>
    <row r="360472" spans="1:1" x14ac:dyDescent="0.2">
      <c r="A360472" s="97" t="s">
        <v>118</v>
      </c>
    </row>
    <row r="360473" spans="1:1" x14ac:dyDescent="0.2">
      <c r="A360473" s="97" t="s">
        <v>119</v>
      </c>
    </row>
    <row r="360474" spans="1:1" x14ac:dyDescent="0.2">
      <c r="A360474" s="97" t="s">
        <v>120</v>
      </c>
    </row>
    <row r="360475" spans="1:1" x14ac:dyDescent="0.2">
      <c r="A360475" s="97" t="s">
        <v>121</v>
      </c>
    </row>
    <row r="360476" spans="1:1" x14ac:dyDescent="0.2">
      <c r="A360476" s="97" t="s">
        <v>122</v>
      </c>
    </row>
    <row r="360477" spans="1:1" x14ac:dyDescent="0.2">
      <c r="A360477" s="97" t="s">
        <v>123</v>
      </c>
    </row>
    <row r="360478" spans="1:1" x14ac:dyDescent="0.2">
      <c r="A360478" s="97" t="s">
        <v>124</v>
      </c>
    </row>
    <row r="360479" spans="1:1" x14ac:dyDescent="0.2">
      <c r="A360479" s="97" t="s">
        <v>125</v>
      </c>
    </row>
    <row r="360480" spans="1:1" x14ac:dyDescent="0.2">
      <c r="A360480" s="97" t="s">
        <v>126</v>
      </c>
    </row>
    <row r="360481" spans="1:1" x14ac:dyDescent="0.2">
      <c r="A360481" s="97" t="s">
        <v>127</v>
      </c>
    </row>
    <row r="360482" spans="1:1" x14ac:dyDescent="0.2">
      <c r="A360482" s="97" t="s">
        <v>128</v>
      </c>
    </row>
    <row r="360483" spans="1:1" x14ac:dyDescent="0.2">
      <c r="A360483" s="97" t="s">
        <v>129</v>
      </c>
    </row>
    <row r="360484" spans="1:1" x14ac:dyDescent="0.2">
      <c r="A360484" s="97" t="s">
        <v>130</v>
      </c>
    </row>
    <row r="360485" spans="1:1" x14ac:dyDescent="0.2">
      <c r="A360485" s="97" t="s">
        <v>131</v>
      </c>
    </row>
    <row r="360486" spans="1:1" x14ac:dyDescent="0.2">
      <c r="A360486" s="97" t="s">
        <v>132</v>
      </c>
    </row>
    <row r="360487" spans="1:1" x14ac:dyDescent="0.2">
      <c r="A360487" s="97" t="s">
        <v>133</v>
      </c>
    </row>
    <row r="360488" spans="1:1" x14ac:dyDescent="0.2">
      <c r="A360488" s="97" t="s">
        <v>134</v>
      </c>
    </row>
    <row r="360489" spans="1:1" x14ac:dyDescent="0.2">
      <c r="A360489" s="97" t="s">
        <v>135</v>
      </c>
    </row>
    <row r="360490" spans="1:1" x14ac:dyDescent="0.2">
      <c r="A360490" s="97" t="s">
        <v>136</v>
      </c>
    </row>
    <row r="360491" spans="1:1" x14ac:dyDescent="0.2">
      <c r="A360491" s="97" t="s">
        <v>137</v>
      </c>
    </row>
    <row r="360492" spans="1:1" x14ac:dyDescent="0.2">
      <c r="A360492" s="97" t="s">
        <v>138</v>
      </c>
    </row>
    <row r="360493" spans="1:1" x14ac:dyDescent="0.2">
      <c r="A360493" s="97" t="s">
        <v>139</v>
      </c>
    </row>
    <row r="360494" spans="1:1" x14ac:dyDescent="0.2">
      <c r="A360494" s="97" t="s">
        <v>140</v>
      </c>
    </row>
    <row r="360495" spans="1:1" x14ac:dyDescent="0.2">
      <c r="A360495" s="97" t="s">
        <v>141</v>
      </c>
    </row>
    <row r="360496" spans="1:1" x14ac:dyDescent="0.2">
      <c r="A360496" s="97" t="s">
        <v>142</v>
      </c>
    </row>
    <row r="360497" spans="1:1" x14ac:dyDescent="0.2">
      <c r="A360497" s="97" t="s">
        <v>143</v>
      </c>
    </row>
    <row r="360498" spans="1:1" x14ac:dyDescent="0.2">
      <c r="A360498" s="97" t="s">
        <v>144</v>
      </c>
    </row>
    <row r="360499" spans="1:1" x14ac:dyDescent="0.2">
      <c r="A360499" s="97" t="s">
        <v>145</v>
      </c>
    </row>
    <row r="360500" spans="1:1" x14ac:dyDescent="0.2">
      <c r="A360500" s="97" t="s">
        <v>146</v>
      </c>
    </row>
    <row r="360501" spans="1:1" x14ac:dyDescent="0.2">
      <c r="A360501" s="97" t="s">
        <v>147</v>
      </c>
    </row>
    <row r="360502" spans="1:1" x14ac:dyDescent="0.2">
      <c r="A360502" s="97" t="s">
        <v>148</v>
      </c>
    </row>
    <row r="360503" spans="1:1" x14ac:dyDescent="0.2">
      <c r="A360503" s="97" t="s">
        <v>149</v>
      </c>
    </row>
    <row r="360504" spans="1:1" x14ac:dyDescent="0.2">
      <c r="A360504" s="97" t="s">
        <v>150</v>
      </c>
    </row>
    <row r="360505" spans="1:1" x14ac:dyDescent="0.2">
      <c r="A360505" s="97" t="s">
        <v>151</v>
      </c>
    </row>
    <row r="360506" spans="1:1" x14ac:dyDescent="0.2">
      <c r="A360506" s="97" t="s">
        <v>152</v>
      </c>
    </row>
    <row r="360507" spans="1:1" x14ac:dyDescent="0.2">
      <c r="A360507" s="97" t="s">
        <v>153</v>
      </c>
    </row>
    <row r="360508" spans="1:1" x14ac:dyDescent="0.2">
      <c r="A360508" s="97" t="s">
        <v>154</v>
      </c>
    </row>
    <row r="360509" spans="1:1" x14ac:dyDescent="0.2">
      <c r="A360509" s="97" t="s">
        <v>155</v>
      </c>
    </row>
    <row r="360510" spans="1:1" x14ac:dyDescent="0.2">
      <c r="A360510" s="97" t="s">
        <v>156</v>
      </c>
    </row>
    <row r="360511" spans="1:1" x14ac:dyDescent="0.2">
      <c r="A360511" s="97" t="s">
        <v>157</v>
      </c>
    </row>
    <row r="360512" spans="1:1" x14ac:dyDescent="0.2">
      <c r="A360512" s="97" t="s">
        <v>158</v>
      </c>
    </row>
    <row r="360513" spans="1:1" x14ac:dyDescent="0.2">
      <c r="A360513" s="97" t="s">
        <v>159</v>
      </c>
    </row>
    <row r="360514" spans="1:1" x14ac:dyDescent="0.2">
      <c r="A360514" s="97" t="s">
        <v>160</v>
      </c>
    </row>
    <row r="360515" spans="1:1" x14ac:dyDescent="0.2">
      <c r="A360515" s="97" t="s">
        <v>161</v>
      </c>
    </row>
    <row r="360516" spans="1:1" x14ac:dyDescent="0.2">
      <c r="A360516" s="97" t="s">
        <v>162</v>
      </c>
    </row>
    <row r="360517" spans="1:1" x14ac:dyDescent="0.2">
      <c r="A360517" s="97" t="s">
        <v>163</v>
      </c>
    </row>
    <row r="360518" spans="1:1" x14ac:dyDescent="0.2">
      <c r="A360518" s="97" t="s">
        <v>164</v>
      </c>
    </row>
    <row r="360519" spans="1:1" x14ac:dyDescent="0.2">
      <c r="A360519" s="97" t="s">
        <v>165</v>
      </c>
    </row>
    <row r="360520" spans="1:1" x14ac:dyDescent="0.2">
      <c r="A360520" s="97" t="s">
        <v>166</v>
      </c>
    </row>
    <row r="360521" spans="1:1" x14ac:dyDescent="0.2">
      <c r="A360521" s="97" t="s">
        <v>167</v>
      </c>
    </row>
    <row r="360522" spans="1:1" x14ac:dyDescent="0.2">
      <c r="A360522" s="97" t="s">
        <v>168</v>
      </c>
    </row>
    <row r="360523" spans="1:1" x14ac:dyDescent="0.2">
      <c r="A360523" s="97" t="s">
        <v>169</v>
      </c>
    </row>
    <row r="360524" spans="1:1" x14ac:dyDescent="0.2">
      <c r="A360524" s="97" t="s">
        <v>170</v>
      </c>
    </row>
    <row r="360525" spans="1:1" x14ac:dyDescent="0.2">
      <c r="A360525" s="97" t="s">
        <v>171</v>
      </c>
    </row>
    <row r="360526" spans="1:1" x14ac:dyDescent="0.2">
      <c r="A360526" s="97" t="s">
        <v>172</v>
      </c>
    </row>
    <row r="360527" spans="1:1" x14ac:dyDescent="0.2">
      <c r="A360527" s="97" t="s">
        <v>173</v>
      </c>
    </row>
    <row r="360528" spans="1:1" x14ac:dyDescent="0.2">
      <c r="A360528" s="97" t="s">
        <v>174</v>
      </c>
    </row>
    <row r="360529" spans="1:1" x14ac:dyDescent="0.2">
      <c r="A360529" s="97" t="s">
        <v>175</v>
      </c>
    </row>
    <row r="360530" spans="1:1" x14ac:dyDescent="0.2">
      <c r="A360530" s="97" t="s">
        <v>176</v>
      </c>
    </row>
    <row r="360531" spans="1:1" x14ac:dyDescent="0.2">
      <c r="A360531" s="97" t="s">
        <v>177</v>
      </c>
    </row>
    <row r="360532" spans="1:1" x14ac:dyDescent="0.2">
      <c r="A360532" s="97" t="s">
        <v>178</v>
      </c>
    </row>
    <row r="360533" spans="1:1" x14ac:dyDescent="0.2">
      <c r="A360533" s="97" t="s">
        <v>179</v>
      </c>
    </row>
    <row r="360534" spans="1:1" x14ac:dyDescent="0.2">
      <c r="A360534" s="97" t="s">
        <v>180</v>
      </c>
    </row>
    <row r="360535" spans="1:1" x14ac:dyDescent="0.2">
      <c r="A360535" s="97" t="s">
        <v>181</v>
      </c>
    </row>
    <row r="360536" spans="1:1" x14ac:dyDescent="0.2">
      <c r="A360536" s="97" t="s">
        <v>182</v>
      </c>
    </row>
    <row r="360537" spans="1:1" x14ac:dyDescent="0.2">
      <c r="A360537" s="97" t="s">
        <v>183</v>
      </c>
    </row>
    <row r="376833" spans="1:1" x14ac:dyDescent="0.2">
      <c r="A376833" s="97" t="s">
        <v>95</v>
      </c>
    </row>
    <row r="376834" spans="1:1" x14ac:dyDescent="0.2">
      <c r="A376834" s="97" t="s">
        <v>96</v>
      </c>
    </row>
    <row r="376835" spans="1:1" x14ac:dyDescent="0.2">
      <c r="A376835" s="97" t="s">
        <v>97</v>
      </c>
    </row>
    <row r="376836" spans="1:1" x14ac:dyDescent="0.2">
      <c r="A376836" s="97" t="s">
        <v>98</v>
      </c>
    </row>
    <row r="376837" spans="1:1" x14ac:dyDescent="0.2">
      <c r="A376837" s="97" t="s">
        <v>99</v>
      </c>
    </row>
    <row r="376838" spans="1:1" x14ac:dyDescent="0.2">
      <c r="A376838" s="97" t="s">
        <v>100</v>
      </c>
    </row>
    <row r="376839" spans="1:1" x14ac:dyDescent="0.2">
      <c r="A376839" s="97" t="s">
        <v>101</v>
      </c>
    </row>
    <row r="376840" spans="1:1" x14ac:dyDescent="0.2">
      <c r="A376840" s="97" t="s">
        <v>102</v>
      </c>
    </row>
    <row r="376841" spans="1:1" x14ac:dyDescent="0.2">
      <c r="A376841" s="97" t="s">
        <v>103</v>
      </c>
    </row>
    <row r="376842" spans="1:1" x14ac:dyDescent="0.2">
      <c r="A376842" s="97" t="s">
        <v>104</v>
      </c>
    </row>
    <row r="376843" spans="1:1" x14ac:dyDescent="0.2">
      <c r="A376843" s="97" t="s">
        <v>105</v>
      </c>
    </row>
    <row r="376844" spans="1:1" x14ac:dyDescent="0.2">
      <c r="A376844" s="97" t="s">
        <v>106</v>
      </c>
    </row>
    <row r="376845" spans="1:1" x14ac:dyDescent="0.2">
      <c r="A376845" s="97" t="s">
        <v>107</v>
      </c>
    </row>
    <row r="376846" spans="1:1" x14ac:dyDescent="0.2">
      <c r="A376846" s="97" t="s">
        <v>108</v>
      </c>
    </row>
    <row r="376847" spans="1:1" x14ac:dyDescent="0.2">
      <c r="A376847" s="97" t="s">
        <v>109</v>
      </c>
    </row>
    <row r="376848" spans="1:1" x14ac:dyDescent="0.2">
      <c r="A376848" s="97" t="s">
        <v>110</v>
      </c>
    </row>
    <row r="376849" spans="1:1" x14ac:dyDescent="0.2">
      <c r="A376849" s="97" t="s">
        <v>111</v>
      </c>
    </row>
    <row r="376850" spans="1:1" x14ac:dyDescent="0.2">
      <c r="A376850" s="97" t="s">
        <v>112</v>
      </c>
    </row>
    <row r="376851" spans="1:1" x14ac:dyDescent="0.2">
      <c r="A376851" s="97" t="s">
        <v>113</v>
      </c>
    </row>
    <row r="376852" spans="1:1" x14ac:dyDescent="0.2">
      <c r="A376852" s="97" t="s">
        <v>114</v>
      </c>
    </row>
    <row r="376853" spans="1:1" x14ac:dyDescent="0.2">
      <c r="A376853" s="97" t="s">
        <v>115</v>
      </c>
    </row>
    <row r="376854" spans="1:1" x14ac:dyDescent="0.2">
      <c r="A376854" s="97" t="s">
        <v>116</v>
      </c>
    </row>
    <row r="376855" spans="1:1" x14ac:dyDescent="0.2">
      <c r="A376855" s="97" t="s">
        <v>117</v>
      </c>
    </row>
    <row r="376856" spans="1:1" x14ac:dyDescent="0.2">
      <c r="A376856" s="97" t="s">
        <v>118</v>
      </c>
    </row>
    <row r="376857" spans="1:1" x14ac:dyDescent="0.2">
      <c r="A376857" s="97" t="s">
        <v>119</v>
      </c>
    </row>
    <row r="376858" spans="1:1" x14ac:dyDescent="0.2">
      <c r="A376858" s="97" t="s">
        <v>120</v>
      </c>
    </row>
    <row r="376859" spans="1:1" x14ac:dyDescent="0.2">
      <c r="A376859" s="97" t="s">
        <v>121</v>
      </c>
    </row>
    <row r="376860" spans="1:1" x14ac:dyDescent="0.2">
      <c r="A376860" s="97" t="s">
        <v>122</v>
      </c>
    </row>
    <row r="376861" spans="1:1" x14ac:dyDescent="0.2">
      <c r="A376861" s="97" t="s">
        <v>123</v>
      </c>
    </row>
    <row r="376862" spans="1:1" x14ac:dyDescent="0.2">
      <c r="A376862" s="97" t="s">
        <v>124</v>
      </c>
    </row>
    <row r="376863" spans="1:1" x14ac:dyDescent="0.2">
      <c r="A376863" s="97" t="s">
        <v>125</v>
      </c>
    </row>
    <row r="376864" spans="1:1" x14ac:dyDescent="0.2">
      <c r="A376864" s="97" t="s">
        <v>126</v>
      </c>
    </row>
    <row r="376865" spans="1:1" x14ac:dyDescent="0.2">
      <c r="A376865" s="97" t="s">
        <v>127</v>
      </c>
    </row>
    <row r="376866" spans="1:1" x14ac:dyDescent="0.2">
      <c r="A376866" s="97" t="s">
        <v>128</v>
      </c>
    </row>
    <row r="376867" spans="1:1" x14ac:dyDescent="0.2">
      <c r="A376867" s="97" t="s">
        <v>129</v>
      </c>
    </row>
    <row r="376868" spans="1:1" x14ac:dyDescent="0.2">
      <c r="A376868" s="97" t="s">
        <v>130</v>
      </c>
    </row>
    <row r="376869" spans="1:1" x14ac:dyDescent="0.2">
      <c r="A376869" s="97" t="s">
        <v>131</v>
      </c>
    </row>
    <row r="376870" spans="1:1" x14ac:dyDescent="0.2">
      <c r="A376870" s="97" t="s">
        <v>132</v>
      </c>
    </row>
    <row r="376871" spans="1:1" x14ac:dyDescent="0.2">
      <c r="A376871" s="97" t="s">
        <v>133</v>
      </c>
    </row>
    <row r="376872" spans="1:1" x14ac:dyDescent="0.2">
      <c r="A376872" s="97" t="s">
        <v>134</v>
      </c>
    </row>
    <row r="376873" spans="1:1" x14ac:dyDescent="0.2">
      <c r="A376873" s="97" t="s">
        <v>135</v>
      </c>
    </row>
    <row r="376874" spans="1:1" x14ac:dyDescent="0.2">
      <c r="A376874" s="97" t="s">
        <v>136</v>
      </c>
    </row>
    <row r="376875" spans="1:1" x14ac:dyDescent="0.2">
      <c r="A376875" s="97" t="s">
        <v>137</v>
      </c>
    </row>
    <row r="376876" spans="1:1" x14ac:dyDescent="0.2">
      <c r="A376876" s="97" t="s">
        <v>138</v>
      </c>
    </row>
    <row r="376877" spans="1:1" x14ac:dyDescent="0.2">
      <c r="A376877" s="97" t="s">
        <v>139</v>
      </c>
    </row>
    <row r="376878" spans="1:1" x14ac:dyDescent="0.2">
      <c r="A376878" s="97" t="s">
        <v>140</v>
      </c>
    </row>
    <row r="376879" spans="1:1" x14ac:dyDescent="0.2">
      <c r="A376879" s="97" t="s">
        <v>141</v>
      </c>
    </row>
    <row r="376880" spans="1:1" x14ac:dyDescent="0.2">
      <c r="A376880" s="97" t="s">
        <v>142</v>
      </c>
    </row>
    <row r="376881" spans="1:1" x14ac:dyDescent="0.2">
      <c r="A376881" s="97" t="s">
        <v>143</v>
      </c>
    </row>
    <row r="376882" spans="1:1" x14ac:dyDescent="0.2">
      <c r="A376882" s="97" t="s">
        <v>144</v>
      </c>
    </row>
    <row r="376883" spans="1:1" x14ac:dyDescent="0.2">
      <c r="A376883" s="97" t="s">
        <v>145</v>
      </c>
    </row>
    <row r="376884" spans="1:1" x14ac:dyDescent="0.2">
      <c r="A376884" s="97" t="s">
        <v>146</v>
      </c>
    </row>
    <row r="376885" spans="1:1" x14ac:dyDescent="0.2">
      <c r="A376885" s="97" t="s">
        <v>147</v>
      </c>
    </row>
    <row r="376886" spans="1:1" x14ac:dyDescent="0.2">
      <c r="A376886" s="97" t="s">
        <v>148</v>
      </c>
    </row>
    <row r="376887" spans="1:1" x14ac:dyDescent="0.2">
      <c r="A376887" s="97" t="s">
        <v>149</v>
      </c>
    </row>
    <row r="376888" spans="1:1" x14ac:dyDescent="0.2">
      <c r="A376888" s="97" t="s">
        <v>150</v>
      </c>
    </row>
    <row r="376889" spans="1:1" x14ac:dyDescent="0.2">
      <c r="A376889" s="97" t="s">
        <v>151</v>
      </c>
    </row>
    <row r="376890" spans="1:1" x14ac:dyDescent="0.2">
      <c r="A376890" s="97" t="s">
        <v>152</v>
      </c>
    </row>
    <row r="376891" spans="1:1" x14ac:dyDescent="0.2">
      <c r="A376891" s="97" t="s">
        <v>153</v>
      </c>
    </row>
    <row r="376892" spans="1:1" x14ac:dyDescent="0.2">
      <c r="A376892" s="97" t="s">
        <v>154</v>
      </c>
    </row>
    <row r="376893" spans="1:1" x14ac:dyDescent="0.2">
      <c r="A376893" s="97" t="s">
        <v>155</v>
      </c>
    </row>
    <row r="376894" spans="1:1" x14ac:dyDescent="0.2">
      <c r="A376894" s="97" t="s">
        <v>156</v>
      </c>
    </row>
    <row r="376895" spans="1:1" x14ac:dyDescent="0.2">
      <c r="A376895" s="97" t="s">
        <v>157</v>
      </c>
    </row>
    <row r="376896" spans="1:1" x14ac:dyDescent="0.2">
      <c r="A376896" s="97" t="s">
        <v>158</v>
      </c>
    </row>
    <row r="376897" spans="1:1" x14ac:dyDescent="0.2">
      <c r="A376897" s="97" t="s">
        <v>159</v>
      </c>
    </row>
    <row r="376898" spans="1:1" x14ac:dyDescent="0.2">
      <c r="A376898" s="97" t="s">
        <v>160</v>
      </c>
    </row>
    <row r="376899" spans="1:1" x14ac:dyDescent="0.2">
      <c r="A376899" s="97" t="s">
        <v>161</v>
      </c>
    </row>
    <row r="376900" spans="1:1" x14ac:dyDescent="0.2">
      <c r="A376900" s="97" t="s">
        <v>162</v>
      </c>
    </row>
    <row r="376901" spans="1:1" x14ac:dyDescent="0.2">
      <c r="A376901" s="97" t="s">
        <v>163</v>
      </c>
    </row>
    <row r="376902" spans="1:1" x14ac:dyDescent="0.2">
      <c r="A376902" s="97" t="s">
        <v>164</v>
      </c>
    </row>
    <row r="376903" spans="1:1" x14ac:dyDescent="0.2">
      <c r="A376903" s="97" t="s">
        <v>165</v>
      </c>
    </row>
    <row r="376904" spans="1:1" x14ac:dyDescent="0.2">
      <c r="A376904" s="97" t="s">
        <v>166</v>
      </c>
    </row>
    <row r="376905" spans="1:1" x14ac:dyDescent="0.2">
      <c r="A376905" s="97" t="s">
        <v>167</v>
      </c>
    </row>
    <row r="376906" spans="1:1" x14ac:dyDescent="0.2">
      <c r="A376906" s="97" t="s">
        <v>168</v>
      </c>
    </row>
    <row r="376907" spans="1:1" x14ac:dyDescent="0.2">
      <c r="A376907" s="97" t="s">
        <v>169</v>
      </c>
    </row>
    <row r="376908" spans="1:1" x14ac:dyDescent="0.2">
      <c r="A376908" s="97" t="s">
        <v>170</v>
      </c>
    </row>
    <row r="376909" spans="1:1" x14ac:dyDescent="0.2">
      <c r="A376909" s="97" t="s">
        <v>171</v>
      </c>
    </row>
    <row r="376910" spans="1:1" x14ac:dyDescent="0.2">
      <c r="A376910" s="97" t="s">
        <v>172</v>
      </c>
    </row>
    <row r="376911" spans="1:1" x14ac:dyDescent="0.2">
      <c r="A376911" s="97" t="s">
        <v>173</v>
      </c>
    </row>
    <row r="376912" spans="1:1" x14ac:dyDescent="0.2">
      <c r="A376912" s="97" t="s">
        <v>174</v>
      </c>
    </row>
    <row r="376913" spans="1:1" x14ac:dyDescent="0.2">
      <c r="A376913" s="97" t="s">
        <v>175</v>
      </c>
    </row>
    <row r="376914" spans="1:1" x14ac:dyDescent="0.2">
      <c r="A376914" s="97" t="s">
        <v>176</v>
      </c>
    </row>
    <row r="376915" spans="1:1" x14ac:dyDescent="0.2">
      <c r="A376915" s="97" t="s">
        <v>177</v>
      </c>
    </row>
    <row r="376916" spans="1:1" x14ac:dyDescent="0.2">
      <c r="A376916" s="97" t="s">
        <v>178</v>
      </c>
    </row>
    <row r="376917" spans="1:1" x14ac:dyDescent="0.2">
      <c r="A376917" s="97" t="s">
        <v>179</v>
      </c>
    </row>
    <row r="376918" spans="1:1" x14ac:dyDescent="0.2">
      <c r="A376918" s="97" t="s">
        <v>180</v>
      </c>
    </row>
    <row r="376919" spans="1:1" x14ac:dyDescent="0.2">
      <c r="A376919" s="97" t="s">
        <v>181</v>
      </c>
    </row>
    <row r="376920" spans="1:1" x14ac:dyDescent="0.2">
      <c r="A376920" s="97" t="s">
        <v>182</v>
      </c>
    </row>
    <row r="376921" spans="1:1" x14ac:dyDescent="0.2">
      <c r="A376921" s="97" t="s">
        <v>183</v>
      </c>
    </row>
    <row r="393217" spans="1:1" x14ac:dyDescent="0.2">
      <c r="A393217" s="97" t="s">
        <v>95</v>
      </c>
    </row>
    <row r="393218" spans="1:1" x14ac:dyDescent="0.2">
      <c r="A393218" s="97" t="s">
        <v>96</v>
      </c>
    </row>
    <row r="393219" spans="1:1" x14ac:dyDescent="0.2">
      <c r="A393219" s="97" t="s">
        <v>97</v>
      </c>
    </row>
    <row r="393220" spans="1:1" x14ac:dyDescent="0.2">
      <c r="A393220" s="97" t="s">
        <v>98</v>
      </c>
    </row>
    <row r="393221" spans="1:1" x14ac:dyDescent="0.2">
      <c r="A393221" s="97" t="s">
        <v>99</v>
      </c>
    </row>
    <row r="393222" spans="1:1" x14ac:dyDescent="0.2">
      <c r="A393222" s="97" t="s">
        <v>100</v>
      </c>
    </row>
    <row r="393223" spans="1:1" x14ac:dyDescent="0.2">
      <c r="A393223" s="97" t="s">
        <v>101</v>
      </c>
    </row>
    <row r="393224" spans="1:1" x14ac:dyDescent="0.2">
      <c r="A393224" s="97" t="s">
        <v>102</v>
      </c>
    </row>
    <row r="393225" spans="1:1" x14ac:dyDescent="0.2">
      <c r="A393225" s="97" t="s">
        <v>103</v>
      </c>
    </row>
    <row r="393226" spans="1:1" x14ac:dyDescent="0.2">
      <c r="A393226" s="97" t="s">
        <v>104</v>
      </c>
    </row>
    <row r="393227" spans="1:1" x14ac:dyDescent="0.2">
      <c r="A393227" s="97" t="s">
        <v>105</v>
      </c>
    </row>
    <row r="393228" spans="1:1" x14ac:dyDescent="0.2">
      <c r="A393228" s="97" t="s">
        <v>106</v>
      </c>
    </row>
    <row r="393229" spans="1:1" x14ac:dyDescent="0.2">
      <c r="A393229" s="97" t="s">
        <v>107</v>
      </c>
    </row>
    <row r="393230" spans="1:1" x14ac:dyDescent="0.2">
      <c r="A393230" s="97" t="s">
        <v>108</v>
      </c>
    </row>
    <row r="393231" spans="1:1" x14ac:dyDescent="0.2">
      <c r="A393231" s="97" t="s">
        <v>109</v>
      </c>
    </row>
    <row r="393232" spans="1:1" x14ac:dyDescent="0.2">
      <c r="A393232" s="97" t="s">
        <v>110</v>
      </c>
    </row>
    <row r="393233" spans="1:1" x14ac:dyDescent="0.2">
      <c r="A393233" s="97" t="s">
        <v>111</v>
      </c>
    </row>
    <row r="393234" spans="1:1" x14ac:dyDescent="0.2">
      <c r="A393234" s="97" t="s">
        <v>112</v>
      </c>
    </row>
    <row r="393235" spans="1:1" x14ac:dyDescent="0.2">
      <c r="A393235" s="97" t="s">
        <v>113</v>
      </c>
    </row>
    <row r="393236" spans="1:1" x14ac:dyDescent="0.2">
      <c r="A393236" s="97" t="s">
        <v>114</v>
      </c>
    </row>
    <row r="393237" spans="1:1" x14ac:dyDescent="0.2">
      <c r="A393237" s="97" t="s">
        <v>115</v>
      </c>
    </row>
    <row r="393238" spans="1:1" x14ac:dyDescent="0.2">
      <c r="A393238" s="97" t="s">
        <v>116</v>
      </c>
    </row>
    <row r="393239" spans="1:1" x14ac:dyDescent="0.2">
      <c r="A393239" s="97" t="s">
        <v>117</v>
      </c>
    </row>
    <row r="393240" spans="1:1" x14ac:dyDescent="0.2">
      <c r="A393240" s="97" t="s">
        <v>118</v>
      </c>
    </row>
    <row r="393241" spans="1:1" x14ac:dyDescent="0.2">
      <c r="A393241" s="97" t="s">
        <v>119</v>
      </c>
    </row>
    <row r="393242" spans="1:1" x14ac:dyDescent="0.2">
      <c r="A393242" s="97" t="s">
        <v>120</v>
      </c>
    </row>
    <row r="393243" spans="1:1" x14ac:dyDescent="0.2">
      <c r="A393243" s="97" t="s">
        <v>121</v>
      </c>
    </row>
    <row r="393244" spans="1:1" x14ac:dyDescent="0.2">
      <c r="A393244" s="97" t="s">
        <v>122</v>
      </c>
    </row>
    <row r="393245" spans="1:1" x14ac:dyDescent="0.2">
      <c r="A393245" s="97" t="s">
        <v>123</v>
      </c>
    </row>
    <row r="393246" spans="1:1" x14ac:dyDescent="0.2">
      <c r="A393246" s="97" t="s">
        <v>124</v>
      </c>
    </row>
    <row r="393247" spans="1:1" x14ac:dyDescent="0.2">
      <c r="A393247" s="97" t="s">
        <v>125</v>
      </c>
    </row>
    <row r="393248" spans="1:1" x14ac:dyDescent="0.2">
      <c r="A393248" s="97" t="s">
        <v>126</v>
      </c>
    </row>
    <row r="393249" spans="1:1" x14ac:dyDescent="0.2">
      <c r="A393249" s="97" t="s">
        <v>127</v>
      </c>
    </row>
    <row r="393250" spans="1:1" x14ac:dyDescent="0.2">
      <c r="A393250" s="97" t="s">
        <v>128</v>
      </c>
    </row>
    <row r="393251" spans="1:1" x14ac:dyDescent="0.2">
      <c r="A393251" s="97" t="s">
        <v>129</v>
      </c>
    </row>
    <row r="393252" spans="1:1" x14ac:dyDescent="0.2">
      <c r="A393252" s="97" t="s">
        <v>130</v>
      </c>
    </row>
    <row r="393253" spans="1:1" x14ac:dyDescent="0.2">
      <c r="A393253" s="97" t="s">
        <v>131</v>
      </c>
    </row>
    <row r="393254" spans="1:1" x14ac:dyDescent="0.2">
      <c r="A393254" s="97" t="s">
        <v>132</v>
      </c>
    </row>
    <row r="393255" spans="1:1" x14ac:dyDescent="0.2">
      <c r="A393255" s="97" t="s">
        <v>133</v>
      </c>
    </row>
    <row r="393256" spans="1:1" x14ac:dyDescent="0.2">
      <c r="A393256" s="97" t="s">
        <v>134</v>
      </c>
    </row>
    <row r="393257" spans="1:1" x14ac:dyDescent="0.2">
      <c r="A393257" s="97" t="s">
        <v>135</v>
      </c>
    </row>
    <row r="393258" spans="1:1" x14ac:dyDescent="0.2">
      <c r="A393258" s="97" t="s">
        <v>136</v>
      </c>
    </row>
    <row r="393259" spans="1:1" x14ac:dyDescent="0.2">
      <c r="A393259" s="97" t="s">
        <v>137</v>
      </c>
    </row>
    <row r="393260" spans="1:1" x14ac:dyDescent="0.2">
      <c r="A393260" s="97" t="s">
        <v>138</v>
      </c>
    </row>
    <row r="393261" spans="1:1" x14ac:dyDescent="0.2">
      <c r="A393261" s="97" t="s">
        <v>139</v>
      </c>
    </row>
    <row r="393262" spans="1:1" x14ac:dyDescent="0.2">
      <c r="A393262" s="97" t="s">
        <v>140</v>
      </c>
    </row>
    <row r="393263" spans="1:1" x14ac:dyDescent="0.2">
      <c r="A393263" s="97" t="s">
        <v>141</v>
      </c>
    </row>
    <row r="393264" spans="1:1" x14ac:dyDescent="0.2">
      <c r="A393264" s="97" t="s">
        <v>142</v>
      </c>
    </row>
    <row r="393265" spans="1:1" x14ac:dyDescent="0.2">
      <c r="A393265" s="97" t="s">
        <v>143</v>
      </c>
    </row>
    <row r="393266" spans="1:1" x14ac:dyDescent="0.2">
      <c r="A393266" s="97" t="s">
        <v>144</v>
      </c>
    </row>
    <row r="393267" spans="1:1" x14ac:dyDescent="0.2">
      <c r="A393267" s="97" t="s">
        <v>145</v>
      </c>
    </row>
    <row r="393268" spans="1:1" x14ac:dyDescent="0.2">
      <c r="A393268" s="97" t="s">
        <v>146</v>
      </c>
    </row>
    <row r="393269" spans="1:1" x14ac:dyDescent="0.2">
      <c r="A393269" s="97" t="s">
        <v>147</v>
      </c>
    </row>
    <row r="393270" spans="1:1" x14ac:dyDescent="0.2">
      <c r="A393270" s="97" t="s">
        <v>148</v>
      </c>
    </row>
    <row r="393271" spans="1:1" x14ac:dyDescent="0.2">
      <c r="A393271" s="97" t="s">
        <v>149</v>
      </c>
    </row>
    <row r="393272" spans="1:1" x14ac:dyDescent="0.2">
      <c r="A393272" s="97" t="s">
        <v>150</v>
      </c>
    </row>
    <row r="393273" spans="1:1" x14ac:dyDescent="0.2">
      <c r="A393273" s="97" t="s">
        <v>151</v>
      </c>
    </row>
    <row r="393274" spans="1:1" x14ac:dyDescent="0.2">
      <c r="A393274" s="97" t="s">
        <v>152</v>
      </c>
    </row>
    <row r="393275" spans="1:1" x14ac:dyDescent="0.2">
      <c r="A393275" s="97" t="s">
        <v>153</v>
      </c>
    </row>
    <row r="393276" spans="1:1" x14ac:dyDescent="0.2">
      <c r="A393276" s="97" t="s">
        <v>154</v>
      </c>
    </row>
    <row r="393277" spans="1:1" x14ac:dyDescent="0.2">
      <c r="A393277" s="97" t="s">
        <v>155</v>
      </c>
    </row>
    <row r="393278" spans="1:1" x14ac:dyDescent="0.2">
      <c r="A393278" s="97" t="s">
        <v>156</v>
      </c>
    </row>
    <row r="393279" spans="1:1" x14ac:dyDescent="0.2">
      <c r="A393279" s="97" t="s">
        <v>157</v>
      </c>
    </row>
    <row r="393280" spans="1:1" x14ac:dyDescent="0.2">
      <c r="A393280" s="97" t="s">
        <v>158</v>
      </c>
    </row>
    <row r="393281" spans="1:1" x14ac:dyDescent="0.2">
      <c r="A393281" s="97" t="s">
        <v>159</v>
      </c>
    </row>
    <row r="393282" spans="1:1" x14ac:dyDescent="0.2">
      <c r="A393282" s="97" t="s">
        <v>160</v>
      </c>
    </row>
    <row r="393283" spans="1:1" x14ac:dyDescent="0.2">
      <c r="A393283" s="97" t="s">
        <v>161</v>
      </c>
    </row>
    <row r="393284" spans="1:1" x14ac:dyDescent="0.2">
      <c r="A393284" s="97" t="s">
        <v>162</v>
      </c>
    </row>
    <row r="393285" spans="1:1" x14ac:dyDescent="0.2">
      <c r="A393285" s="97" t="s">
        <v>163</v>
      </c>
    </row>
    <row r="393286" spans="1:1" x14ac:dyDescent="0.2">
      <c r="A393286" s="97" t="s">
        <v>164</v>
      </c>
    </row>
    <row r="393287" spans="1:1" x14ac:dyDescent="0.2">
      <c r="A393287" s="97" t="s">
        <v>165</v>
      </c>
    </row>
    <row r="393288" spans="1:1" x14ac:dyDescent="0.2">
      <c r="A393288" s="97" t="s">
        <v>166</v>
      </c>
    </row>
    <row r="393289" spans="1:1" x14ac:dyDescent="0.2">
      <c r="A393289" s="97" t="s">
        <v>167</v>
      </c>
    </row>
    <row r="393290" spans="1:1" x14ac:dyDescent="0.2">
      <c r="A393290" s="97" t="s">
        <v>168</v>
      </c>
    </row>
    <row r="393291" spans="1:1" x14ac:dyDescent="0.2">
      <c r="A393291" s="97" t="s">
        <v>169</v>
      </c>
    </row>
    <row r="393292" spans="1:1" x14ac:dyDescent="0.2">
      <c r="A393292" s="97" t="s">
        <v>170</v>
      </c>
    </row>
    <row r="393293" spans="1:1" x14ac:dyDescent="0.2">
      <c r="A393293" s="97" t="s">
        <v>171</v>
      </c>
    </row>
    <row r="393294" spans="1:1" x14ac:dyDescent="0.2">
      <c r="A393294" s="97" t="s">
        <v>172</v>
      </c>
    </row>
    <row r="393295" spans="1:1" x14ac:dyDescent="0.2">
      <c r="A393295" s="97" t="s">
        <v>173</v>
      </c>
    </row>
    <row r="393296" spans="1:1" x14ac:dyDescent="0.2">
      <c r="A393296" s="97" t="s">
        <v>174</v>
      </c>
    </row>
    <row r="393297" spans="1:1" x14ac:dyDescent="0.2">
      <c r="A393297" s="97" t="s">
        <v>175</v>
      </c>
    </row>
    <row r="393298" spans="1:1" x14ac:dyDescent="0.2">
      <c r="A393298" s="97" t="s">
        <v>176</v>
      </c>
    </row>
    <row r="393299" spans="1:1" x14ac:dyDescent="0.2">
      <c r="A393299" s="97" t="s">
        <v>177</v>
      </c>
    </row>
    <row r="393300" spans="1:1" x14ac:dyDescent="0.2">
      <c r="A393300" s="97" t="s">
        <v>178</v>
      </c>
    </row>
    <row r="393301" spans="1:1" x14ac:dyDescent="0.2">
      <c r="A393301" s="97" t="s">
        <v>179</v>
      </c>
    </row>
    <row r="393302" spans="1:1" x14ac:dyDescent="0.2">
      <c r="A393302" s="97" t="s">
        <v>180</v>
      </c>
    </row>
    <row r="393303" spans="1:1" x14ac:dyDescent="0.2">
      <c r="A393303" s="97" t="s">
        <v>181</v>
      </c>
    </row>
    <row r="393304" spans="1:1" x14ac:dyDescent="0.2">
      <c r="A393304" s="97" t="s">
        <v>182</v>
      </c>
    </row>
    <row r="393305" spans="1:1" x14ac:dyDescent="0.2">
      <c r="A393305" s="97" t="s">
        <v>183</v>
      </c>
    </row>
    <row r="409601" spans="1:1" x14ac:dyDescent="0.2">
      <c r="A409601" s="97" t="s">
        <v>95</v>
      </c>
    </row>
    <row r="409602" spans="1:1" x14ac:dyDescent="0.2">
      <c r="A409602" s="97" t="s">
        <v>96</v>
      </c>
    </row>
    <row r="409603" spans="1:1" x14ac:dyDescent="0.2">
      <c r="A409603" s="97" t="s">
        <v>97</v>
      </c>
    </row>
    <row r="409604" spans="1:1" x14ac:dyDescent="0.2">
      <c r="A409604" s="97" t="s">
        <v>98</v>
      </c>
    </row>
    <row r="409605" spans="1:1" x14ac:dyDescent="0.2">
      <c r="A409605" s="97" t="s">
        <v>99</v>
      </c>
    </row>
    <row r="409606" spans="1:1" x14ac:dyDescent="0.2">
      <c r="A409606" s="97" t="s">
        <v>100</v>
      </c>
    </row>
    <row r="409607" spans="1:1" x14ac:dyDescent="0.2">
      <c r="A409607" s="97" t="s">
        <v>101</v>
      </c>
    </row>
    <row r="409608" spans="1:1" x14ac:dyDescent="0.2">
      <c r="A409608" s="97" t="s">
        <v>102</v>
      </c>
    </row>
    <row r="409609" spans="1:1" x14ac:dyDescent="0.2">
      <c r="A409609" s="97" t="s">
        <v>103</v>
      </c>
    </row>
    <row r="409610" spans="1:1" x14ac:dyDescent="0.2">
      <c r="A409610" s="97" t="s">
        <v>104</v>
      </c>
    </row>
    <row r="409611" spans="1:1" x14ac:dyDescent="0.2">
      <c r="A409611" s="97" t="s">
        <v>105</v>
      </c>
    </row>
    <row r="409612" spans="1:1" x14ac:dyDescent="0.2">
      <c r="A409612" s="97" t="s">
        <v>106</v>
      </c>
    </row>
    <row r="409613" spans="1:1" x14ac:dyDescent="0.2">
      <c r="A409613" s="97" t="s">
        <v>107</v>
      </c>
    </row>
    <row r="409614" spans="1:1" x14ac:dyDescent="0.2">
      <c r="A409614" s="97" t="s">
        <v>108</v>
      </c>
    </row>
    <row r="409615" spans="1:1" x14ac:dyDescent="0.2">
      <c r="A409615" s="97" t="s">
        <v>109</v>
      </c>
    </row>
    <row r="409616" spans="1:1" x14ac:dyDescent="0.2">
      <c r="A409616" s="97" t="s">
        <v>110</v>
      </c>
    </row>
    <row r="409617" spans="1:1" x14ac:dyDescent="0.2">
      <c r="A409617" s="97" t="s">
        <v>111</v>
      </c>
    </row>
    <row r="409618" spans="1:1" x14ac:dyDescent="0.2">
      <c r="A409618" s="97" t="s">
        <v>112</v>
      </c>
    </row>
    <row r="409619" spans="1:1" x14ac:dyDescent="0.2">
      <c r="A409619" s="97" t="s">
        <v>113</v>
      </c>
    </row>
    <row r="409620" spans="1:1" x14ac:dyDescent="0.2">
      <c r="A409620" s="97" t="s">
        <v>114</v>
      </c>
    </row>
    <row r="409621" spans="1:1" x14ac:dyDescent="0.2">
      <c r="A409621" s="97" t="s">
        <v>115</v>
      </c>
    </row>
    <row r="409622" spans="1:1" x14ac:dyDescent="0.2">
      <c r="A409622" s="97" t="s">
        <v>116</v>
      </c>
    </row>
    <row r="409623" spans="1:1" x14ac:dyDescent="0.2">
      <c r="A409623" s="97" t="s">
        <v>117</v>
      </c>
    </row>
    <row r="409624" spans="1:1" x14ac:dyDescent="0.2">
      <c r="A409624" s="97" t="s">
        <v>118</v>
      </c>
    </row>
    <row r="409625" spans="1:1" x14ac:dyDescent="0.2">
      <c r="A409625" s="97" t="s">
        <v>119</v>
      </c>
    </row>
    <row r="409626" spans="1:1" x14ac:dyDescent="0.2">
      <c r="A409626" s="97" t="s">
        <v>120</v>
      </c>
    </row>
    <row r="409627" spans="1:1" x14ac:dyDescent="0.2">
      <c r="A409627" s="97" t="s">
        <v>121</v>
      </c>
    </row>
    <row r="409628" spans="1:1" x14ac:dyDescent="0.2">
      <c r="A409628" s="97" t="s">
        <v>122</v>
      </c>
    </row>
    <row r="409629" spans="1:1" x14ac:dyDescent="0.2">
      <c r="A409629" s="97" t="s">
        <v>123</v>
      </c>
    </row>
    <row r="409630" spans="1:1" x14ac:dyDescent="0.2">
      <c r="A409630" s="97" t="s">
        <v>124</v>
      </c>
    </row>
    <row r="409631" spans="1:1" x14ac:dyDescent="0.2">
      <c r="A409631" s="97" t="s">
        <v>125</v>
      </c>
    </row>
    <row r="409632" spans="1:1" x14ac:dyDescent="0.2">
      <c r="A409632" s="97" t="s">
        <v>126</v>
      </c>
    </row>
    <row r="409633" spans="1:1" x14ac:dyDescent="0.2">
      <c r="A409633" s="97" t="s">
        <v>127</v>
      </c>
    </row>
    <row r="409634" spans="1:1" x14ac:dyDescent="0.2">
      <c r="A409634" s="97" t="s">
        <v>128</v>
      </c>
    </row>
    <row r="409635" spans="1:1" x14ac:dyDescent="0.2">
      <c r="A409635" s="97" t="s">
        <v>129</v>
      </c>
    </row>
    <row r="409636" spans="1:1" x14ac:dyDescent="0.2">
      <c r="A409636" s="97" t="s">
        <v>130</v>
      </c>
    </row>
    <row r="409637" spans="1:1" x14ac:dyDescent="0.2">
      <c r="A409637" s="97" t="s">
        <v>131</v>
      </c>
    </row>
    <row r="409638" spans="1:1" x14ac:dyDescent="0.2">
      <c r="A409638" s="97" t="s">
        <v>132</v>
      </c>
    </row>
    <row r="409639" spans="1:1" x14ac:dyDescent="0.2">
      <c r="A409639" s="97" t="s">
        <v>133</v>
      </c>
    </row>
    <row r="409640" spans="1:1" x14ac:dyDescent="0.2">
      <c r="A409640" s="97" t="s">
        <v>134</v>
      </c>
    </row>
    <row r="409641" spans="1:1" x14ac:dyDescent="0.2">
      <c r="A409641" s="97" t="s">
        <v>135</v>
      </c>
    </row>
    <row r="409642" spans="1:1" x14ac:dyDescent="0.2">
      <c r="A409642" s="97" t="s">
        <v>136</v>
      </c>
    </row>
    <row r="409643" spans="1:1" x14ac:dyDescent="0.2">
      <c r="A409643" s="97" t="s">
        <v>137</v>
      </c>
    </row>
    <row r="409644" spans="1:1" x14ac:dyDescent="0.2">
      <c r="A409644" s="97" t="s">
        <v>138</v>
      </c>
    </row>
    <row r="409645" spans="1:1" x14ac:dyDescent="0.2">
      <c r="A409645" s="97" t="s">
        <v>139</v>
      </c>
    </row>
    <row r="409646" spans="1:1" x14ac:dyDescent="0.2">
      <c r="A409646" s="97" t="s">
        <v>140</v>
      </c>
    </row>
    <row r="409647" spans="1:1" x14ac:dyDescent="0.2">
      <c r="A409647" s="97" t="s">
        <v>141</v>
      </c>
    </row>
    <row r="409648" spans="1:1" x14ac:dyDescent="0.2">
      <c r="A409648" s="97" t="s">
        <v>142</v>
      </c>
    </row>
    <row r="409649" spans="1:1" x14ac:dyDescent="0.2">
      <c r="A409649" s="97" t="s">
        <v>143</v>
      </c>
    </row>
    <row r="409650" spans="1:1" x14ac:dyDescent="0.2">
      <c r="A409650" s="97" t="s">
        <v>144</v>
      </c>
    </row>
    <row r="409651" spans="1:1" x14ac:dyDescent="0.2">
      <c r="A409651" s="97" t="s">
        <v>145</v>
      </c>
    </row>
    <row r="409652" spans="1:1" x14ac:dyDescent="0.2">
      <c r="A409652" s="97" t="s">
        <v>146</v>
      </c>
    </row>
    <row r="409653" spans="1:1" x14ac:dyDescent="0.2">
      <c r="A409653" s="97" t="s">
        <v>147</v>
      </c>
    </row>
    <row r="409654" spans="1:1" x14ac:dyDescent="0.2">
      <c r="A409654" s="97" t="s">
        <v>148</v>
      </c>
    </row>
    <row r="409655" spans="1:1" x14ac:dyDescent="0.2">
      <c r="A409655" s="97" t="s">
        <v>149</v>
      </c>
    </row>
    <row r="409656" spans="1:1" x14ac:dyDescent="0.2">
      <c r="A409656" s="97" t="s">
        <v>150</v>
      </c>
    </row>
    <row r="409657" spans="1:1" x14ac:dyDescent="0.2">
      <c r="A409657" s="97" t="s">
        <v>151</v>
      </c>
    </row>
    <row r="409658" spans="1:1" x14ac:dyDescent="0.2">
      <c r="A409658" s="97" t="s">
        <v>152</v>
      </c>
    </row>
    <row r="409659" spans="1:1" x14ac:dyDescent="0.2">
      <c r="A409659" s="97" t="s">
        <v>153</v>
      </c>
    </row>
    <row r="409660" spans="1:1" x14ac:dyDescent="0.2">
      <c r="A409660" s="97" t="s">
        <v>154</v>
      </c>
    </row>
    <row r="409661" spans="1:1" x14ac:dyDescent="0.2">
      <c r="A409661" s="97" t="s">
        <v>155</v>
      </c>
    </row>
    <row r="409662" spans="1:1" x14ac:dyDescent="0.2">
      <c r="A409662" s="97" t="s">
        <v>156</v>
      </c>
    </row>
    <row r="409663" spans="1:1" x14ac:dyDescent="0.2">
      <c r="A409663" s="97" t="s">
        <v>157</v>
      </c>
    </row>
    <row r="409664" spans="1:1" x14ac:dyDescent="0.2">
      <c r="A409664" s="97" t="s">
        <v>158</v>
      </c>
    </row>
    <row r="409665" spans="1:1" x14ac:dyDescent="0.2">
      <c r="A409665" s="97" t="s">
        <v>159</v>
      </c>
    </row>
    <row r="409666" spans="1:1" x14ac:dyDescent="0.2">
      <c r="A409666" s="97" t="s">
        <v>160</v>
      </c>
    </row>
    <row r="409667" spans="1:1" x14ac:dyDescent="0.2">
      <c r="A409667" s="97" t="s">
        <v>161</v>
      </c>
    </row>
    <row r="409668" spans="1:1" x14ac:dyDescent="0.2">
      <c r="A409668" s="97" t="s">
        <v>162</v>
      </c>
    </row>
    <row r="409669" spans="1:1" x14ac:dyDescent="0.2">
      <c r="A409669" s="97" t="s">
        <v>163</v>
      </c>
    </row>
    <row r="409670" spans="1:1" x14ac:dyDescent="0.2">
      <c r="A409670" s="97" t="s">
        <v>164</v>
      </c>
    </row>
    <row r="409671" spans="1:1" x14ac:dyDescent="0.2">
      <c r="A409671" s="97" t="s">
        <v>165</v>
      </c>
    </row>
    <row r="409672" spans="1:1" x14ac:dyDescent="0.2">
      <c r="A409672" s="97" t="s">
        <v>166</v>
      </c>
    </row>
    <row r="409673" spans="1:1" x14ac:dyDescent="0.2">
      <c r="A409673" s="97" t="s">
        <v>167</v>
      </c>
    </row>
    <row r="409674" spans="1:1" x14ac:dyDescent="0.2">
      <c r="A409674" s="97" t="s">
        <v>168</v>
      </c>
    </row>
    <row r="409675" spans="1:1" x14ac:dyDescent="0.2">
      <c r="A409675" s="97" t="s">
        <v>169</v>
      </c>
    </row>
    <row r="409676" spans="1:1" x14ac:dyDescent="0.2">
      <c r="A409676" s="97" t="s">
        <v>170</v>
      </c>
    </row>
    <row r="409677" spans="1:1" x14ac:dyDescent="0.2">
      <c r="A409677" s="97" t="s">
        <v>171</v>
      </c>
    </row>
    <row r="409678" spans="1:1" x14ac:dyDescent="0.2">
      <c r="A409678" s="97" t="s">
        <v>172</v>
      </c>
    </row>
    <row r="409679" spans="1:1" x14ac:dyDescent="0.2">
      <c r="A409679" s="97" t="s">
        <v>173</v>
      </c>
    </row>
    <row r="409680" spans="1:1" x14ac:dyDescent="0.2">
      <c r="A409680" s="97" t="s">
        <v>174</v>
      </c>
    </row>
    <row r="409681" spans="1:1" x14ac:dyDescent="0.2">
      <c r="A409681" s="97" t="s">
        <v>175</v>
      </c>
    </row>
    <row r="409682" spans="1:1" x14ac:dyDescent="0.2">
      <c r="A409682" s="97" t="s">
        <v>176</v>
      </c>
    </row>
    <row r="409683" spans="1:1" x14ac:dyDescent="0.2">
      <c r="A409683" s="97" t="s">
        <v>177</v>
      </c>
    </row>
    <row r="409684" spans="1:1" x14ac:dyDescent="0.2">
      <c r="A409684" s="97" t="s">
        <v>178</v>
      </c>
    </row>
    <row r="409685" spans="1:1" x14ac:dyDescent="0.2">
      <c r="A409685" s="97" t="s">
        <v>179</v>
      </c>
    </row>
    <row r="409686" spans="1:1" x14ac:dyDescent="0.2">
      <c r="A409686" s="97" t="s">
        <v>180</v>
      </c>
    </row>
    <row r="409687" spans="1:1" x14ac:dyDescent="0.2">
      <c r="A409687" s="97" t="s">
        <v>181</v>
      </c>
    </row>
    <row r="409688" spans="1:1" x14ac:dyDescent="0.2">
      <c r="A409688" s="97" t="s">
        <v>182</v>
      </c>
    </row>
    <row r="409689" spans="1:1" x14ac:dyDescent="0.2">
      <c r="A409689" s="97" t="s">
        <v>183</v>
      </c>
    </row>
    <row r="425985" spans="1:1" x14ac:dyDescent="0.2">
      <c r="A425985" s="97" t="s">
        <v>95</v>
      </c>
    </row>
    <row r="425986" spans="1:1" x14ac:dyDescent="0.2">
      <c r="A425986" s="97" t="s">
        <v>96</v>
      </c>
    </row>
    <row r="425987" spans="1:1" x14ac:dyDescent="0.2">
      <c r="A425987" s="97" t="s">
        <v>97</v>
      </c>
    </row>
    <row r="425988" spans="1:1" x14ac:dyDescent="0.2">
      <c r="A425988" s="97" t="s">
        <v>98</v>
      </c>
    </row>
    <row r="425989" spans="1:1" x14ac:dyDescent="0.2">
      <c r="A425989" s="97" t="s">
        <v>99</v>
      </c>
    </row>
    <row r="425990" spans="1:1" x14ac:dyDescent="0.2">
      <c r="A425990" s="97" t="s">
        <v>100</v>
      </c>
    </row>
    <row r="425991" spans="1:1" x14ac:dyDescent="0.2">
      <c r="A425991" s="97" t="s">
        <v>101</v>
      </c>
    </row>
    <row r="425992" spans="1:1" x14ac:dyDescent="0.2">
      <c r="A425992" s="97" t="s">
        <v>102</v>
      </c>
    </row>
    <row r="425993" spans="1:1" x14ac:dyDescent="0.2">
      <c r="A425993" s="97" t="s">
        <v>103</v>
      </c>
    </row>
    <row r="425994" spans="1:1" x14ac:dyDescent="0.2">
      <c r="A425994" s="97" t="s">
        <v>104</v>
      </c>
    </row>
    <row r="425995" spans="1:1" x14ac:dyDescent="0.2">
      <c r="A425995" s="97" t="s">
        <v>105</v>
      </c>
    </row>
    <row r="425996" spans="1:1" x14ac:dyDescent="0.2">
      <c r="A425996" s="97" t="s">
        <v>106</v>
      </c>
    </row>
    <row r="425997" spans="1:1" x14ac:dyDescent="0.2">
      <c r="A425997" s="97" t="s">
        <v>107</v>
      </c>
    </row>
    <row r="425998" spans="1:1" x14ac:dyDescent="0.2">
      <c r="A425998" s="97" t="s">
        <v>108</v>
      </c>
    </row>
    <row r="425999" spans="1:1" x14ac:dyDescent="0.2">
      <c r="A425999" s="97" t="s">
        <v>109</v>
      </c>
    </row>
    <row r="426000" spans="1:1" x14ac:dyDescent="0.2">
      <c r="A426000" s="97" t="s">
        <v>110</v>
      </c>
    </row>
    <row r="426001" spans="1:1" x14ac:dyDescent="0.2">
      <c r="A426001" s="97" t="s">
        <v>111</v>
      </c>
    </row>
    <row r="426002" spans="1:1" x14ac:dyDescent="0.2">
      <c r="A426002" s="97" t="s">
        <v>112</v>
      </c>
    </row>
    <row r="426003" spans="1:1" x14ac:dyDescent="0.2">
      <c r="A426003" s="97" t="s">
        <v>113</v>
      </c>
    </row>
    <row r="426004" spans="1:1" x14ac:dyDescent="0.2">
      <c r="A426004" s="97" t="s">
        <v>114</v>
      </c>
    </row>
    <row r="426005" spans="1:1" x14ac:dyDescent="0.2">
      <c r="A426005" s="97" t="s">
        <v>115</v>
      </c>
    </row>
    <row r="426006" spans="1:1" x14ac:dyDescent="0.2">
      <c r="A426006" s="97" t="s">
        <v>116</v>
      </c>
    </row>
    <row r="426007" spans="1:1" x14ac:dyDescent="0.2">
      <c r="A426007" s="97" t="s">
        <v>117</v>
      </c>
    </row>
    <row r="426008" spans="1:1" x14ac:dyDescent="0.2">
      <c r="A426008" s="97" t="s">
        <v>118</v>
      </c>
    </row>
    <row r="426009" spans="1:1" x14ac:dyDescent="0.2">
      <c r="A426009" s="97" t="s">
        <v>119</v>
      </c>
    </row>
    <row r="426010" spans="1:1" x14ac:dyDescent="0.2">
      <c r="A426010" s="97" t="s">
        <v>120</v>
      </c>
    </row>
    <row r="426011" spans="1:1" x14ac:dyDescent="0.2">
      <c r="A426011" s="97" t="s">
        <v>121</v>
      </c>
    </row>
    <row r="426012" spans="1:1" x14ac:dyDescent="0.2">
      <c r="A426012" s="97" t="s">
        <v>122</v>
      </c>
    </row>
    <row r="426013" spans="1:1" x14ac:dyDescent="0.2">
      <c r="A426013" s="97" t="s">
        <v>123</v>
      </c>
    </row>
    <row r="426014" spans="1:1" x14ac:dyDescent="0.2">
      <c r="A426014" s="97" t="s">
        <v>124</v>
      </c>
    </row>
    <row r="426015" spans="1:1" x14ac:dyDescent="0.2">
      <c r="A426015" s="97" t="s">
        <v>125</v>
      </c>
    </row>
    <row r="426016" spans="1:1" x14ac:dyDescent="0.2">
      <c r="A426016" s="97" t="s">
        <v>126</v>
      </c>
    </row>
    <row r="426017" spans="1:1" x14ac:dyDescent="0.2">
      <c r="A426017" s="97" t="s">
        <v>127</v>
      </c>
    </row>
    <row r="426018" spans="1:1" x14ac:dyDescent="0.2">
      <c r="A426018" s="97" t="s">
        <v>128</v>
      </c>
    </row>
    <row r="426019" spans="1:1" x14ac:dyDescent="0.2">
      <c r="A426019" s="97" t="s">
        <v>129</v>
      </c>
    </row>
    <row r="426020" spans="1:1" x14ac:dyDescent="0.2">
      <c r="A426020" s="97" t="s">
        <v>130</v>
      </c>
    </row>
    <row r="426021" spans="1:1" x14ac:dyDescent="0.2">
      <c r="A426021" s="97" t="s">
        <v>131</v>
      </c>
    </row>
    <row r="426022" spans="1:1" x14ac:dyDescent="0.2">
      <c r="A426022" s="97" t="s">
        <v>132</v>
      </c>
    </row>
    <row r="426023" spans="1:1" x14ac:dyDescent="0.2">
      <c r="A426023" s="97" t="s">
        <v>133</v>
      </c>
    </row>
    <row r="426024" spans="1:1" x14ac:dyDescent="0.2">
      <c r="A426024" s="97" t="s">
        <v>134</v>
      </c>
    </row>
    <row r="426025" spans="1:1" x14ac:dyDescent="0.2">
      <c r="A426025" s="97" t="s">
        <v>135</v>
      </c>
    </row>
    <row r="426026" spans="1:1" x14ac:dyDescent="0.2">
      <c r="A426026" s="97" t="s">
        <v>136</v>
      </c>
    </row>
    <row r="426027" spans="1:1" x14ac:dyDescent="0.2">
      <c r="A426027" s="97" t="s">
        <v>137</v>
      </c>
    </row>
    <row r="426028" spans="1:1" x14ac:dyDescent="0.2">
      <c r="A426028" s="97" t="s">
        <v>138</v>
      </c>
    </row>
    <row r="426029" spans="1:1" x14ac:dyDescent="0.2">
      <c r="A426029" s="97" t="s">
        <v>139</v>
      </c>
    </row>
    <row r="426030" spans="1:1" x14ac:dyDescent="0.2">
      <c r="A426030" s="97" t="s">
        <v>140</v>
      </c>
    </row>
    <row r="426031" spans="1:1" x14ac:dyDescent="0.2">
      <c r="A426031" s="97" t="s">
        <v>141</v>
      </c>
    </row>
    <row r="426032" spans="1:1" x14ac:dyDescent="0.2">
      <c r="A426032" s="97" t="s">
        <v>142</v>
      </c>
    </row>
    <row r="426033" spans="1:1" x14ac:dyDescent="0.2">
      <c r="A426033" s="97" t="s">
        <v>143</v>
      </c>
    </row>
    <row r="426034" spans="1:1" x14ac:dyDescent="0.2">
      <c r="A426034" s="97" t="s">
        <v>144</v>
      </c>
    </row>
    <row r="426035" spans="1:1" x14ac:dyDescent="0.2">
      <c r="A426035" s="97" t="s">
        <v>145</v>
      </c>
    </row>
    <row r="426036" spans="1:1" x14ac:dyDescent="0.2">
      <c r="A426036" s="97" t="s">
        <v>146</v>
      </c>
    </row>
    <row r="426037" spans="1:1" x14ac:dyDescent="0.2">
      <c r="A426037" s="97" t="s">
        <v>147</v>
      </c>
    </row>
    <row r="426038" spans="1:1" x14ac:dyDescent="0.2">
      <c r="A426038" s="97" t="s">
        <v>148</v>
      </c>
    </row>
    <row r="426039" spans="1:1" x14ac:dyDescent="0.2">
      <c r="A426039" s="97" t="s">
        <v>149</v>
      </c>
    </row>
    <row r="426040" spans="1:1" x14ac:dyDescent="0.2">
      <c r="A426040" s="97" t="s">
        <v>150</v>
      </c>
    </row>
    <row r="426041" spans="1:1" x14ac:dyDescent="0.2">
      <c r="A426041" s="97" t="s">
        <v>151</v>
      </c>
    </row>
    <row r="426042" spans="1:1" x14ac:dyDescent="0.2">
      <c r="A426042" s="97" t="s">
        <v>152</v>
      </c>
    </row>
    <row r="426043" spans="1:1" x14ac:dyDescent="0.2">
      <c r="A426043" s="97" t="s">
        <v>153</v>
      </c>
    </row>
    <row r="426044" spans="1:1" x14ac:dyDescent="0.2">
      <c r="A426044" s="97" t="s">
        <v>154</v>
      </c>
    </row>
    <row r="426045" spans="1:1" x14ac:dyDescent="0.2">
      <c r="A426045" s="97" t="s">
        <v>155</v>
      </c>
    </row>
    <row r="426046" spans="1:1" x14ac:dyDescent="0.2">
      <c r="A426046" s="97" t="s">
        <v>156</v>
      </c>
    </row>
    <row r="426047" spans="1:1" x14ac:dyDescent="0.2">
      <c r="A426047" s="97" t="s">
        <v>157</v>
      </c>
    </row>
    <row r="426048" spans="1:1" x14ac:dyDescent="0.2">
      <c r="A426048" s="97" t="s">
        <v>158</v>
      </c>
    </row>
    <row r="426049" spans="1:1" x14ac:dyDescent="0.2">
      <c r="A426049" s="97" t="s">
        <v>159</v>
      </c>
    </row>
    <row r="426050" spans="1:1" x14ac:dyDescent="0.2">
      <c r="A426050" s="97" t="s">
        <v>160</v>
      </c>
    </row>
    <row r="426051" spans="1:1" x14ac:dyDescent="0.2">
      <c r="A426051" s="97" t="s">
        <v>161</v>
      </c>
    </row>
    <row r="426052" spans="1:1" x14ac:dyDescent="0.2">
      <c r="A426052" s="97" t="s">
        <v>162</v>
      </c>
    </row>
    <row r="426053" spans="1:1" x14ac:dyDescent="0.2">
      <c r="A426053" s="97" t="s">
        <v>163</v>
      </c>
    </row>
    <row r="426054" spans="1:1" x14ac:dyDescent="0.2">
      <c r="A426054" s="97" t="s">
        <v>164</v>
      </c>
    </row>
    <row r="426055" spans="1:1" x14ac:dyDescent="0.2">
      <c r="A426055" s="97" t="s">
        <v>165</v>
      </c>
    </row>
    <row r="426056" spans="1:1" x14ac:dyDescent="0.2">
      <c r="A426056" s="97" t="s">
        <v>166</v>
      </c>
    </row>
    <row r="426057" spans="1:1" x14ac:dyDescent="0.2">
      <c r="A426057" s="97" t="s">
        <v>167</v>
      </c>
    </row>
    <row r="426058" spans="1:1" x14ac:dyDescent="0.2">
      <c r="A426058" s="97" t="s">
        <v>168</v>
      </c>
    </row>
    <row r="426059" spans="1:1" x14ac:dyDescent="0.2">
      <c r="A426059" s="97" t="s">
        <v>169</v>
      </c>
    </row>
    <row r="426060" spans="1:1" x14ac:dyDescent="0.2">
      <c r="A426060" s="97" t="s">
        <v>170</v>
      </c>
    </row>
    <row r="426061" spans="1:1" x14ac:dyDescent="0.2">
      <c r="A426061" s="97" t="s">
        <v>171</v>
      </c>
    </row>
    <row r="426062" spans="1:1" x14ac:dyDescent="0.2">
      <c r="A426062" s="97" t="s">
        <v>172</v>
      </c>
    </row>
    <row r="426063" spans="1:1" x14ac:dyDescent="0.2">
      <c r="A426063" s="97" t="s">
        <v>173</v>
      </c>
    </row>
    <row r="426064" spans="1:1" x14ac:dyDescent="0.2">
      <c r="A426064" s="97" t="s">
        <v>174</v>
      </c>
    </row>
    <row r="426065" spans="1:1" x14ac:dyDescent="0.2">
      <c r="A426065" s="97" t="s">
        <v>175</v>
      </c>
    </row>
    <row r="426066" spans="1:1" x14ac:dyDescent="0.2">
      <c r="A426066" s="97" t="s">
        <v>176</v>
      </c>
    </row>
    <row r="426067" spans="1:1" x14ac:dyDescent="0.2">
      <c r="A426067" s="97" t="s">
        <v>177</v>
      </c>
    </row>
    <row r="426068" spans="1:1" x14ac:dyDescent="0.2">
      <c r="A426068" s="97" t="s">
        <v>178</v>
      </c>
    </row>
    <row r="426069" spans="1:1" x14ac:dyDescent="0.2">
      <c r="A426069" s="97" t="s">
        <v>179</v>
      </c>
    </row>
    <row r="426070" spans="1:1" x14ac:dyDescent="0.2">
      <c r="A426070" s="97" t="s">
        <v>180</v>
      </c>
    </row>
    <row r="426071" spans="1:1" x14ac:dyDescent="0.2">
      <c r="A426071" s="97" t="s">
        <v>181</v>
      </c>
    </row>
    <row r="426072" spans="1:1" x14ac:dyDescent="0.2">
      <c r="A426072" s="97" t="s">
        <v>182</v>
      </c>
    </row>
    <row r="426073" spans="1:1" x14ac:dyDescent="0.2">
      <c r="A426073" s="97" t="s">
        <v>183</v>
      </c>
    </row>
    <row r="442369" spans="1:1" x14ac:dyDescent="0.2">
      <c r="A442369" s="97" t="s">
        <v>95</v>
      </c>
    </row>
    <row r="442370" spans="1:1" x14ac:dyDescent="0.2">
      <c r="A442370" s="97" t="s">
        <v>96</v>
      </c>
    </row>
    <row r="442371" spans="1:1" x14ac:dyDescent="0.2">
      <c r="A442371" s="97" t="s">
        <v>97</v>
      </c>
    </row>
    <row r="442372" spans="1:1" x14ac:dyDescent="0.2">
      <c r="A442372" s="97" t="s">
        <v>98</v>
      </c>
    </row>
    <row r="442373" spans="1:1" x14ac:dyDescent="0.2">
      <c r="A442373" s="97" t="s">
        <v>99</v>
      </c>
    </row>
    <row r="442374" spans="1:1" x14ac:dyDescent="0.2">
      <c r="A442374" s="97" t="s">
        <v>100</v>
      </c>
    </row>
    <row r="442375" spans="1:1" x14ac:dyDescent="0.2">
      <c r="A442375" s="97" t="s">
        <v>101</v>
      </c>
    </row>
    <row r="442376" spans="1:1" x14ac:dyDescent="0.2">
      <c r="A442376" s="97" t="s">
        <v>102</v>
      </c>
    </row>
    <row r="442377" spans="1:1" x14ac:dyDescent="0.2">
      <c r="A442377" s="97" t="s">
        <v>103</v>
      </c>
    </row>
    <row r="442378" spans="1:1" x14ac:dyDescent="0.2">
      <c r="A442378" s="97" t="s">
        <v>104</v>
      </c>
    </row>
    <row r="442379" spans="1:1" x14ac:dyDescent="0.2">
      <c r="A442379" s="97" t="s">
        <v>105</v>
      </c>
    </row>
    <row r="442380" spans="1:1" x14ac:dyDescent="0.2">
      <c r="A442380" s="97" t="s">
        <v>106</v>
      </c>
    </row>
    <row r="442381" spans="1:1" x14ac:dyDescent="0.2">
      <c r="A442381" s="97" t="s">
        <v>107</v>
      </c>
    </row>
    <row r="442382" spans="1:1" x14ac:dyDescent="0.2">
      <c r="A442382" s="97" t="s">
        <v>108</v>
      </c>
    </row>
    <row r="442383" spans="1:1" x14ac:dyDescent="0.2">
      <c r="A442383" s="97" t="s">
        <v>109</v>
      </c>
    </row>
    <row r="442384" spans="1:1" x14ac:dyDescent="0.2">
      <c r="A442384" s="97" t="s">
        <v>110</v>
      </c>
    </row>
    <row r="442385" spans="1:1" x14ac:dyDescent="0.2">
      <c r="A442385" s="97" t="s">
        <v>111</v>
      </c>
    </row>
    <row r="442386" spans="1:1" x14ac:dyDescent="0.2">
      <c r="A442386" s="97" t="s">
        <v>112</v>
      </c>
    </row>
    <row r="442387" spans="1:1" x14ac:dyDescent="0.2">
      <c r="A442387" s="97" t="s">
        <v>113</v>
      </c>
    </row>
    <row r="442388" spans="1:1" x14ac:dyDescent="0.2">
      <c r="A442388" s="97" t="s">
        <v>114</v>
      </c>
    </row>
    <row r="442389" spans="1:1" x14ac:dyDescent="0.2">
      <c r="A442389" s="97" t="s">
        <v>115</v>
      </c>
    </row>
    <row r="442390" spans="1:1" x14ac:dyDescent="0.2">
      <c r="A442390" s="97" t="s">
        <v>116</v>
      </c>
    </row>
    <row r="442391" spans="1:1" x14ac:dyDescent="0.2">
      <c r="A442391" s="97" t="s">
        <v>117</v>
      </c>
    </row>
    <row r="442392" spans="1:1" x14ac:dyDescent="0.2">
      <c r="A442392" s="97" t="s">
        <v>118</v>
      </c>
    </row>
    <row r="442393" spans="1:1" x14ac:dyDescent="0.2">
      <c r="A442393" s="97" t="s">
        <v>119</v>
      </c>
    </row>
    <row r="442394" spans="1:1" x14ac:dyDescent="0.2">
      <c r="A442394" s="97" t="s">
        <v>120</v>
      </c>
    </row>
    <row r="442395" spans="1:1" x14ac:dyDescent="0.2">
      <c r="A442395" s="97" t="s">
        <v>121</v>
      </c>
    </row>
    <row r="442396" spans="1:1" x14ac:dyDescent="0.2">
      <c r="A442396" s="97" t="s">
        <v>122</v>
      </c>
    </row>
    <row r="442397" spans="1:1" x14ac:dyDescent="0.2">
      <c r="A442397" s="97" t="s">
        <v>123</v>
      </c>
    </row>
    <row r="442398" spans="1:1" x14ac:dyDescent="0.2">
      <c r="A442398" s="97" t="s">
        <v>124</v>
      </c>
    </row>
    <row r="442399" spans="1:1" x14ac:dyDescent="0.2">
      <c r="A442399" s="97" t="s">
        <v>125</v>
      </c>
    </row>
    <row r="442400" spans="1:1" x14ac:dyDescent="0.2">
      <c r="A442400" s="97" t="s">
        <v>126</v>
      </c>
    </row>
    <row r="442401" spans="1:1" x14ac:dyDescent="0.2">
      <c r="A442401" s="97" t="s">
        <v>127</v>
      </c>
    </row>
    <row r="442402" spans="1:1" x14ac:dyDescent="0.2">
      <c r="A442402" s="97" t="s">
        <v>128</v>
      </c>
    </row>
    <row r="442403" spans="1:1" x14ac:dyDescent="0.2">
      <c r="A442403" s="97" t="s">
        <v>129</v>
      </c>
    </row>
    <row r="442404" spans="1:1" x14ac:dyDescent="0.2">
      <c r="A442404" s="97" t="s">
        <v>130</v>
      </c>
    </row>
    <row r="442405" spans="1:1" x14ac:dyDescent="0.2">
      <c r="A442405" s="97" t="s">
        <v>131</v>
      </c>
    </row>
    <row r="442406" spans="1:1" x14ac:dyDescent="0.2">
      <c r="A442406" s="97" t="s">
        <v>132</v>
      </c>
    </row>
    <row r="442407" spans="1:1" x14ac:dyDescent="0.2">
      <c r="A442407" s="97" t="s">
        <v>133</v>
      </c>
    </row>
    <row r="442408" spans="1:1" x14ac:dyDescent="0.2">
      <c r="A442408" s="97" t="s">
        <v>134</v>
      </c>
    </row>
    <row r="442409" spans="1:1" x14ac:dyDescent="0.2">
      <c r="A442409" s="97" t="s">
        <v>135</v>
      </c>
    </row>
    <row r="442410" spans="1:1" x14ac:dyDescent="0.2">
      <c r="A442410" s="97" t="s">
        <v>136</v>
      </c>
    </row>
    <row r="442411" spans="1:1" x14ac:dyDescent="0.2">
      <c r="A442411" s="97" t="s">
        <v>137</v>
      </c>
    </row>
    <row r="442412" spans="1:1" x14ac:dyDescent="0.2">
      <c r="A442412" s="97" t="s">
        <v>138</v>
      </c>
    </row>
    <row r="442413" spans="1:1" x14ac:dyDescent="0.2">
      <c r="A442413" s="97" t="s">
        <v>139</v>
      </c>
    </row>
    <row r="442414" spans="1:1" x14ac:dyDescent="0.2">
      <c r="A442414" s="97" t="s">
        <v>140</v>
      </c>
    </row>
    <row r="442415" spans="1:1" x14ac:dyDescent="0.2">
      <c r="A442415" s="97" t="s">
        <v>141</v>
      </c>
    </row>
    <row r="442416" spans="1:1" x14ac:dyDescent="0.2">
      <c r="A442416" s="97" t="s">
        <v>142</v>
      </c>
    </row>
    <row r="442417" spans="1:1" x14ac:dyDescent="0.2">
      <c r="A442417" s="97" t="s">
        <v>143</v>
      </c>
    </row>
    <row r="442418" spans="1:1" x14ac:dyDescent="0.2">
      <c r="A442418" s="97" t="s">
        <v>144</v>
      </c>
    </row>
    <row r="442419" spans="1:1" x14ac:dyDescent="0.2">
      <c r="A442419" s="97" t="s">
        <v>145</v>
      </c>
    </row>
    <row r="442420" spans="1:1" x14ac:dyDescent="0.2">
      <c r="A442420" s="97" t="s">
        <v>146</v>
      </c>
    </row>
    <row r="442421" spans="1:1" x14ac:dyDescent="0.2">
      <c r="A442421" s="97" t="s">
        <v>147</v>
      </c>
    </row>
    <row r="442422" spans="1:1" x14ac:dyDescent="0.2">
      <c r="A442422" s="97" t="s">
        <v>148</v>
      </c>
    </row>
    <row r="442423" spans="1:1" x14ac:dyDescent="0.2">
      <c r="A442423" s="97" t="s">
        <v>149</v>
      </c>
    </row>
    <row r="442424" spans="1:1" x14ac:dyDescent="0.2">
      <c r="A442424" s="97" t="s">
        <v>150</v>
      </c>
    </row>
    <row r="442425" spans="1:1" x14ac:dyDescent="0.2">
      <c r="A442425" s="97" t="s">
        <v>151</v>
      </c>
    </row>
    <row r="442426" spans="1:1" x14ac:dyDescent="0.2">
      <c r="A442426" s="97" t="s">
        <v>152</v>
      </c>
    </row>
    <row r="442427" spans="1:1" x14ac:dyDescent="0.2">
      <c r="A442427" s="97" t="s">
        <v>153</v>
      </c>
    </row>
    <row r="442428" spans="1:1" x14ac:dyDescent="0.2">
      <c r="A442428" s="97" t="s">
        <v>154</v>
      </c>
    </row>
    <row r="442429" spans="1:1" x14ac:dyDescent="0.2">
      <c r="A442429" s="97" t="s">
        <v>155</v>
      </c>
    </row>
    <row r="442430" spans="1:1" x14ac:dyDescent="0.2">
      <c r="A442430" s="97" t="s">
        <v>156</v>
      </c>
    </row>
    <row r="442431" spans="1:1" x14ac:dyDescent="0.2">
      <c r="A442431" s="97" t="s">
        <v>157</v>
      </c>
    </row>
    <row r="442432" spans="1:1" x14ac:dyDescent="0.2">
      <c r="A442432" s="97" t="s">
        <v>158</v>
      </c>
    </row>
    <row r="442433" spans="1:1" x14ac:dyDescent="0.2">
      <c r="A442433" s="97" t="s">
        <v>159</v>
      </c>
    </row>
    <row r="442434" spans="1:1" x14ac:dyDescent="0.2">
      <c r="A442434" s="97" t="s">
        <v>160</v>
      </c>
    </row>
    <row r="442435" spans="1:1" x14ac:dyDescent="0.2">
      <c r="A442435" s="97" t="s">
        <v>161</v>
      </c>
    </row>
    <row r="442436" spans="1:1" x14ac:dyDescent="0.2">
      <c r="A442436" s="97" t="s">
        <v>162</v>
      </c>
    </row>
    <row r="442437" spans="1:1" x14ac:dyDescent="0.2">
      <c r="A442437" s="97" t="s">
        <v>163</v>
      </c>
    </row>
    <row r="442438" spans="1:1" x14ac:dyDescent="0.2">
      <c r="A442438" s="97" t="s">
        <v>164</v>
      </c>
    </row>
    <row r="442439" spans="1:1" x14ac:dyDescent="0.2">
      <c r="A442439" s="97" t="s">
        <v>165</v>
      </c>
    </row>
    <row r="442440" spans="1:1" x14ac:dyDescent="0.2">
      <c r="A442440" s="97" t="s">
        <v>166</v>
      </c>
    </row>
    <row r="442441" spans="1:1" x14ac:dyDescent="0.2">
      <c r="A442441" s="97" t="s">
        <v>167</v>
      </c>
    </row>
    <row r="442442" spans="1:1" x14ac:dyDescent="0.2">
      <c r="A442442" s="97" t="s">
        <v>168</v>
      </c>
    </row>
    <row r="442443" spans="1:1" x14ac:dyDescent="0.2">
      <c r="A442443" s="97" t="s">
        <v>169</v>
      </c>
    </row>
    <row r="442444" spans="1:1" x14ac:dyDescent="0.2">
      <c r="A442444" s="97" t="s">
        <v>170</v>
      </c>
    </row>
    <row r="442445" spans="1:1" x14ac:dyDescent="0.2">
      <c r="A442445" s="97" t="s">
        <v>171</v>
      </c>
    </row>
    <row r="442446" spans="1:1" x14ac:dyDescent="0.2">
      <c r="A442446" s="97" t="s">
        <v>172</v>
      </c>
    </row>
    <row r="442447" spans="1:1" x14ac:dyDescent="0.2">
      <c r="A442447" s="97" t="s">
        <v>173</v>
      </c>
    </row>
    <row r="442448" spans="1:1" x14ac:dyDescent="0.2">
      <c r="A442448" s="97" t="s">
        <v>174</v>
      </c>
    </row>
    <row r="442449" spans="1:1" x14ac:dyDescent="0.2">
      <c r="A442449" s="97" t="s">
        <v>175</v>
      </c>
    </row>
    <row r="442450" spans="1:1" x14ac:dyDescent="0.2">
      <c r="A442450" s="97" t="s">
        <v>176</v>
      </c>
    </row>
    <row r="442451" spans="1:1" x14ac:dyDescent="0.2">
      <c r="A442451" s="97" t="s">
        <v>177</v>
      </c>
    </row>
    <row r="442452" spans="1:1" x14ac:dyDescent="0.2">
      <c r="A442452" s="97" t="s">
        <v>178</v>
      </c>
    </row>
    <row r="442453" spans="1:1" x14ac:dyDescent="0.2">
      <c r="A442453" s="97" t="s">
        <v>179</v>
      </c>
    </row>
    <row r="442454" spans="1:1" x14ac:dyDescent="0.2">
      <c r="A442454" s="97" t="s">
        <v>180</v>
      </c>
    </row>
    <row r="442455" spans="1:1" x14ac:dyDescent="0.2">
      <c r="A442455" s="97" t="s">
        <v>181</v>
      </c>
    </row>
    <row r="442456" spans="1:1" x14ac:dyDescent="0.2">
      <c r="A442456" s="97" t="s">
        <v>182</v>
      </c>
    </row>
    <row r="442457" spans="1:1" x14ac:dyDescent="0.2">
      <c r="A442457" s="97" t="s">
        <v>183</v>
      </c>
    </row>
    <row r="458753" spans="1:1" x14ac:dyDescent="0.2">
      <c r="A458753" s="97" t="s">
        <v>95</v>
      </c>
    </row>
    <row r="458754" spans="1:1" x14ac:dyDescent="0.2">
      <c r="A458754" s="97" t="s">
        <v>96</v>
      </c>
    </row>
    <row r="458755" spans="1:1" x14ac:dyDescent="0.2">
      <c r="A458755" s="97" t="s">
        <v>97</v>
      </c>
    </row>
    <row r="458756" spans="1:1" x14ac:dyDescent="0.2">
      <c r="A458756" s="97" t="s">
        <v>98</v>
      </c>
    </row>
    <row r="458757" spans="1:1" x14ac:dyDescent="0.2">
      <c r="A458757" s="97" t="s">
        <v>99</v>
      </c>
    </row>
    <row r="458758" spans="1:1" x14ac:dyDescent="0.2">
      <c r="A458758" s="97" t="s">
        <v>100</v>
      </c>
    </row>
    <row r="458759" spans="1:1" x14ac:dyDescent="0.2">
      <c r="A458759" s="97" t="s">
        <v>101</v>
      </c>
    </row>
    <row r="458760" spans="1:1" x14ac:dyDescent="0.2">
      <c r="A458760" s="97" t="s">
        <v>102</v>
      </c>
    </row>
    <row r="458761" spans="1:1" x14ac:dyDescent="0.2">
      <c r="A458761" s="97" t="s">
        <v>103</v>
      </c>
    </row>
    <row r="458762" spans="1:1" x14ac:dyDescent="0.2">
      <c r="A458762" s="97" t="s">
        <v>104</v>
      </c>
    </row>
    <row r="458763" spans="1:1" x14ac:dyDescent="0.2">
      <c r="A458763" s="97" t="s">
        <v>105</v>
      </c>
    </row>
    <row r="458764" spans="1:1" x14ac:dyDescent="0.2">
      <c r="A458764" s="97" t="s">
        <v>106</v>
      </c>
    </row>
    <row r="458765" spans="1:1" x14ac:dyDescent="0.2">
      <c r="A458765" s="97" t="s">
        <v>107</v>
      </c>
    </row>
    <row r="458766" spans="1:1" x14ac:dyDescent="0.2">
      <c r="A458766" s="97" t="s">
        <v>108</v>
      </c>
    </row>
    <row r="458767" spans="1:1" x14ac:dyDescent="0.2">
      <c r="A458767" s="97" t="s">
        <v>109</v>
      </c>
    </row>
    <row r="458768" spans="1:1" x14ac:dyDescent="0.2">
      <c r="A458768" s="97" t="s">
        <v>110</v>
      </c>
    </row>
    <row r="458769" spans="1:1" x14ac:dyDescent="0.2">
      <c r="A458769" s="97" t="s">
        <v>111</v>
      </c>
    </row>
    <row r="458770" spans="1:1" x14ac:dyDescent="0.2">
      <c r="A458770" s="97" t="s">
        <v>112</v>
      </c>
    </row>
    <row r="458771" spans="1:1" x14ac:dyDescent="0.2">
      <c r="A458771" s="97" t="s">
        <v>113</v>
      </c>
    </row>
    <row r="458772" spans="1:1" x14ac:dyDescent="0.2">
      <c r="A458772" s="97" t="s">
        <v>114</v>
      </c>
    </row>
    <row r="458773" spans="1:1" x14ac:dyDescent="0.2">
      <c r="A458773" s="97" t="s">
        <v>115</v>
      </c>
    </row>
    <row r="458774" spans="1:1" x14ac:dyDescent="0.2">
      <c r="A458774" s="97" t="s">
        <v>116</v>
      </c>
    </row>
    <row r="458775" spans="1:1" x14ac:dyDescent="0.2">
      <c r="A458775" s="97" t="s">
        <v>117</v>
      </c>
    </row>
    <row r="458776" spans="1:1" x14ac:dyDescent="0.2">
      <c r="A458776" s="97" t="s">
        <v>118</v>
      </c>
    </row>
    <row r="458777" spans="1:1" x14ac:dyDescent="0.2">
      <c r="A458777" s="97" t="s">
        <v>119</v>
      </c>
    </row>
    <row r="458778" spans="1:1" x14ac:dyDescent="0.2">
      <c r="A458778" s="97" t="s">
        <v>120</v>
      </c>
    </row>
    <row r="458779" spans="1:1" x14ac:dyDescent="0.2">
      <c r="A458779" s="97" t="s">
        <v>121</v>
      </c>
    </row>
    <row r="458780" spans="1:1" x14ac:dyDescent="0.2">
      <c r="A458780" s="97" t="s">
        <v>122</v>
      </c>
    </row>
    <row r="458781" spans="1:1" x14ac:dyDescent="0.2">
      <c r="A458781" s="97" t="s">
        <v>123</v>
      </c>
    </row>
    <row r="458782" spans="1:1" x14ac:dyDescent="0.2">
      <c r="A458782" s="97" t="s">
        <v>124</v>
      </c>
    </row>
    <row r="458783" spans="1:1" x14ac:dyDescent="0.2">
      <c r="A458783" s="97" t="s">
        <v>125</v>
      </c>
    </row>
    <row r="458784" spans="1:1" x14ac:dyDescent="0.2">
      <c r="A458784" s="97" t="s">
        <v>126</v>
      </c>
    </row>
    <row r="458785" spans="1:1" x14ac:dyDescent="0.2">
      <c r="A458785" s="97" t="s">
        <v>127</v>
      </c>
    </row>
    <row r="458786" spans="1:1" x14ac:dyDescent="0.2">
      <c r="A458786" s="97" t="s">
        <v>128</v>
      </c>
    </row>
    <row r="458787" spans="1:1" x14ac:dyDescent="0.2">
      <c r="A458787" s="97" t="s">
        <v>129</v>
      </c>
    </row>
    <row r="458788" spans="1:1" x14ac:dyDescent="0.2">
      <c r="A458788" s="97" t="s">
        <v>130</v>
      </c>
    </row>
    <row r="458789" spans="1:1" x14ac:dyDescent="0.2">
      <c r="A458789" s="97" t="s">
        <v>131</v>
      </c>
    </row>
    <row r="458790" spans="1:1" x14ac:dyDescent="0.2">
      <c r="A458790" s="97" t="s">
        <v>132</v>
      </c>
    </row>
    <row r="458791" spans="1:1" x14ac:dyDescent="0.2">
      <c r="A458791" s="97" t="s">
        <v>133</v>
      </c>
    </row>
    <row r="458792" spans="1:1" x14ac:dyDescent="0.2">
      <c r="A458792" s="97" t="s">
        <v>134</v>
      </c>
    </row>
    <row r="458793" spans="1:1" x14ac:dyDescent="0.2">
      <c r="A458793" s="97" t="s">
        <v>135</v>
      </c>
    </row>
    <row r="458794" spans="1:1" x14ac:dyDescent="0.2">
      <c r="A458794" s="97" t="s">
        <v>136</v>
      </c>
    </row>
    <row r="458795" spans="1:1" x14ac:dyDescent="0.2">
      <c r="A458795" s="97" t="s">
        <v>137</v>
      </c>
    </row>
    <row r="458796" spans="1:1" x14ac:dyDescent="0.2">
      <c r="A458796" s="97" t="s">
        <v>138</v>
      </c>
    </row>
    <row r="458797" spans="1:1" x14ac:dyDescent="0.2">
      <c r="A458797" s="97" t="s">
        <v>139</v>
      </c>
    </row>
    <row r="458798" spans="1:1" x14ac:dyDescent="0.2">
      <c r="A458798" s="97" t="s">
        <v>140</v>
      </c>
    </row>
    <row r="458799" spans="1:1" x14ac:dyDescent="0.2">
      <c r="A458799" s="97" t="s">
        <v>141</v>
      </c>
    </row>
    <row r="458800" spans="1:1" x14ac:dyDescent="0.2">
      <c r="A458800" s="97" t="s">
        <v>142</v>
      </c>
    </row>
    <row r="458801" spans="1:1" x14ac:dyDescent="0.2">
      <c r="A458801" s="97" t="s">
        <v>143</v>
      </c>
    </row>
    <row r="458802" spans="1:1" x14ac:dyDescent="0.2">
      <c r="A458802" s="97" t="s">
        <v>144</v>
      </c>
    </row>
    <row r="458803" spans="1:1" x14ac:dyDescent="0.2">
      <c r="A458803" s="97" t="s">
        <v>145</v>
      </c>
    </row>
    <row r="458804" spans="1:1" x14ac:dyDescent="0.2">
      <c r="A458804" s="97" t="s">
        <v>146</v>
      </c>
    </row>
    <row r="458805" spans="1:1" x14ac:dyDescent="0.2">
      <c r="A458805" s="97" t="s">
        <v>147</v>
      </c>
    </row>
    <row r="458806" spans="1:1" x14ac:dyDescent="0.2">
      <c r="A458806" s="97" t="s">
        <v>148</v>
      </c>
    </row>
    <row r="458807" spans="1:1" x14ac:dyDescent="0.2">
      <c r="A458807" s="97" t="s">
        <v>149</v>
      </c>
    </row>
    <row r="458808" spans="1:1" x14ac:dyDescent="0.2">
      <c r="A458808" s="97" t="s">
        <v>150</v>
      </c>
    </row>
    <row r="458809" spans="1:1" x14ac:dyDescent="0.2">
      <c r="A458809" s="97" t="s">
        <v>151</v>
      </c>
    </row>
    <row r="458810" spans="1:1" x14ac:dyDescent="0.2">
      <c r="A458810" s="97" t="s">
        <v>152</v>
      </c>
    </row>
    <row r="458811" spans="1:1" x14ac:dyDescent="0.2">
      <c r="A458811" s="97" t="s">
        <v>153</v>
      </c>
    </row>
    <row r="458812" spans="1:1" x14ac:dyDescent="0.2">
      <c r="A458812" s="97" t="s">
        <v>154</v>
      </c>
    </row>
    <row r="458813" spans="1:1" x14ac:dyDescent="0.2">
      <c r="A458813" s="97" t="s">
        <v>155</v>
      </c>
    </row>
    <row r="458814" spans="1:1" x14ac:dyDescent="0.2">
      <c r="A458814" s="97" t="s">
        <v>156</v>
      </c>
    </row>
    <row r="458815" spans="1:1" x14ac:dyDescent="0.2">
      <c r="A458815" s="97" t="s">
        <v>157</v>
      </c>
    </row>
    <row r="458816" spans="1:1" x14ac:dyDescent="0.2">
      <c r="A458816" s="97" t="s">
        <v>158</v>
      </c>
    </row>
    <row r="458817" spans="1:1" x14ac:dyDescent="0.2">
      <c r="A458817" s="97" t="s">
        <v>159</v>
      </c>
    </row>
    <row r="458818" spans="1:1" x14ac:dyDescent="0.2">
      <c r="A458818" s="97" t="s">
        <v>160</v>
      </c>
    </row>
    <row r="458819" spans="1:1" x14ac:dyDescent="0.2">
      <c r="A458819" s="97" t="s">
        <v>161</v>
      </c>
    </row>
    <row r="458820" spans="1:1" x14ac:dyDescent="0.2">
      <c r="A458820" s="97" t="s">
        <v>162</v>
      </c>
    </row>
    <row r="458821" spans="1:1" x14ac:dyDescent="0.2">
      <c r="A458821" s="97" t="s">
        <v>163</v>
      </c>
    </row>
    <row r="458822" spans="1:1" x14ac:dyDescent="0.2">
      <c r="A458822" s="97" t="s">
        <v>164</v>
      </c>
    </row>
    <row r="458823" spans="1:1" x14ac:dyDescent="0.2">
      <c r="A458823" s="97" t="s">
        <v>165</v>
      </c>
    </row>
    <row r="458824" spans="1:1" x14ac:dyDescent="0.2">
      <c r="A458824" s="97" t="s">
        <v>166</v>
      </c>
    </row>
    <row r="458825" spans="1:1" x14ac:dyDescent="0.2">
      <c r="A458825" s="97" t="s">
        <v>167</v>
      </c>
    </row>
    <row r="458826" spans="1:1" x14ac:dyDescent="0.2">
      <c r="A458826" s="97" t="s">
        <v>168</v>
      </c>
    </row>
    <row r="458827" spans="1:1" x14ac:dyDescent="0.2">
      <c r="A458827" s="97" t="s">
        <v>169</v>
      </c>
    </row>
    <row r="458828" spans="1:1" x14ac:dyDescent="0.2">
      <c r="A458828" s="97" t="s">
        <v>170</v>
      </c>
    </row>
    <row r="458829" spans="1:1" x14ac:dyDescent="0.2">
      <c r="A458829" s="97" t="s">
        <v>171</v>
      </c>
    </row>
    <row r="458830" spans="1:1" x14ac:dyDescent="0.2">
      <c r="A458830" s="97" t="s">
        <v>172</v>
      </c>
    </row>
    <row r="458831" spans="1:1" x14ac:dyDescent="0.2">
      <c r="A458831" s="97" t="s">
        <v>173</v>
      </c>
    </row>
    <row r="458832" spans="1:1" x14ac:dyDescent="0.2">
      <c r="A458832" s="97" t="s">
        <v>174</v>
      </c>
    </row>
    <row r="458833" spans="1:1" x14ac:dyDescent="0.2">
      <c r="A458833" s="97" t="s">
        <v>175</v>
      </c>
    </row>
    <row r="458834" spans="1:1" x14ac:dyDescent="0.2">
      <c r="A458834" s="97" t="s">
        <v>176</v>
      </c>
    </row>
    <row r="458835" spans="1:1" x14ac:dyDescent="0.2">
      <c r="A458835" s="97" t="s">
        <v>177</v>
      </c>
    </row>
    <row r="458836" spans="1:1" x14ac:dyDescent="0.2">
      <c r="A458836" s="97" t="s">
        <v>178</v>
      </c>
    </row>
    <row r="458837" spans="1:1" x14ac:dyDescent="0.2">
      <c r="A458837" s="97" t="s">
        <v>179</v>
      </c>
    </row>
    <row r="458838" spans="1:1" x14ac:dyDescent="0.2">
      <c r="A458838" s="97" t="s">
        <v>180</v>
      </c>
    </row>
    <row r="458839" spans="1:1" x14ac:dyDescent="0.2">
      <c r="A458839" s="97" t="s">
        <v>181</v>
      </c>
    </row>
    <row r="458840" spans="1:1" x14ac:dyDescent="0.2">
      <c r="A458840" s="97" t="s">
        <v>182</v>
      </c>
    </row>
    <row r="458841" spans="1:1" x14ac:dyDescent="0.2">
      <c r="A458841" s="97" t="s">
        <v>183</v>
      </c>
    </row>
    <row r="475137" spans="1:1" x14ac:dyDescent="0.2">
      <c r="A475137" s="97" t="s">
        <v>95</v>
      </c>
    </row>
    <row r="475138" spans="1:1" x14ac:dyDescent="0.2">
      <c r="A475138" s="97" t="s">
        <v>96</v>
      </c>
    </row>
    <row r="475139" spans="1:1" x14ac:dyDescent="0.2">
      <c r="A475139" s="97" t="s">
        <v>97</v>
      </c>
    </row>
    <row r="475140" spans="1:1" x14ac:dyDescent="0.2">
      <c r="A475140" s="97" t="s">
        <v>98</v>
      </c>
    </row>
    <row r="475141" spans="1:1" x14ac:dyDescent="0.2">
      <c r="A475141" s="97" t="s">
        <v>99</v>
      </c>
    </row>
    <row r="475142" spans="1:1" x14ac:dyDescent="0.2">
      <c r="A475142" s="97" t="s">
        <v>100</v>
      </c>
    </row>
    <row r="475143" spans="1:1" x14ac:dyDescent="0.2">
      <c r="A475143" s="97" t="s">
        <v>101</v>
      </c>
    </row>
    <row r="475144" spans="1:1" x14ac:dyDescent="0.2">
      <c r="A475144" s="97" t="s">
        <v>102</v>
      </c>
    </row>
    <row r="475145" spans="1:1" x14ac:dyDescent="0.2">
      <c r="A475145" s="97" t="s">
        <v>103</v>
      </c>
    </row>
    <row r="475146" spans="1:1" x14ac:dyDescent="0.2">
      <c r="A475146" s="97" t="s">
        <v>104</v>
      </c>
    </row>
    <row r="475147" spans="1:1" x14ac:dyDescent="0.2">
      <c r="A475147" s="97" t="s">
        <v>105</v>
      </c>
    </row>
    <row r="475148" spans="1:1" x14ac:dyDescent="0.2">
      <c r="A475148" s="97" t="s">
        <v>106</v>
      </c>
    </row>
    <row r="475149" spans="1:1" x14ac:dyDescent="0.2">
      <c r="A475149" s="97" t="s">
        <v>107</v>
      </c>
    </row>
    <row r="475150" spans="1:1" x14ac:dyDescent="0.2">
      <c r="A475150" s="97" t="s">
        <v>108</v>
      </c>
    </row>
    <row r="475151" spans="1:1" x14ac:dyDescent="0.2">
      <c r="A475151" s="97" t="s">
        <v>109</v>
      </c>
    </row>
    <row r="475152" spans="1:1" x14ac:dyDescent="0.2">
      <c r="A475152" s="97" t="s">
        <v>110</v>
      </c>
    </row>
    <row r="475153" spans="1:1" x14ac:dyDescent="0.2">
      <c r="A475153" s="97" t="s">
        <v>111</v>
      </c>
    </row>
    <row r="475154" spans="1:1" x14ac:dyDescent="0.2">
      <c r="A475154" s="97" t="s">
        <v>112</v>
      </c>
    </row>
    <row r="475155" spans="1:1" x14ac:dyDescent="0.2">
      <c r="A475155" s="97" t="s">
        <v>113</v>
      </c>
    </row>
    <row r="475156" spans="1:1" x14ac:dyDescent="0.2">
      <c r="A475156" s="97" t="s">
        <v>114</v>
      </c>
    </row>
    <row r="475157" spans="1:1" x14ac:dyDescent="0.2">
      <c r="A475157" s="97" t="s">
        <v>115</v>
      </c>
    </row>
    <row r="475158" spans="1:1" x14ac:dyDescent="0.2">
      <c r="A475158" s="97" t="s">
        <v>116</v>
      </c>
    </row>
    <row r="475159" spans="1:1" x14ac:dyDescent="0.2">
      <c r="A475159" s="97" t="s">
        <v>117</v>
      </c>
    </row>
    <row r="475160" spans="1:1" x14ac:dyDescent="0.2">
      <c r="A475160" s="97" t="s">
        <v>118</v>
      </c>
    </row>
    <row r="475161" spans="1:1" x14ac:dyDescent="0.2">
      <c r="A475161" s="97" t="s">
        <v>119</v>
      </c>
    </row>
    <row r="475162" spans="1:1" x14ac:dyDescent="0.2">
      <c r="A475162" s="97" t="s">
        <v>120</v>
      </c>
    </row>
    <row r="475163" spans="1:1" x14ac:dyDescent="0.2">
      <c r="A475163" s="97" t="s">
        <v>121</v>
      </c>
    </row>
    <row r="475164" spans="1:1" x14ac:dyDescent="0.2">
      <c r="A475164" s="97" t="s">
        <v>122</v>
      </c>
    </row>
    <row r="475165" spans="1:1" x14ac:dyDescent="0.2">
      <c r="A475165" s="97" t="s">
        <v>123</v>
      </c>
    </row>
    <row r="475166" spans="1:1" x14ac:dyDescent="0.2">
      <c r="A475166" s="97" t="s">
        <v>124</v>
      </c>
    </row>
    <row r="475167" spans="1:1" x14ac:dyDescent="0.2">
      <c r="A475167" s="97" t="s">
        <v>125</v>
      </c>
    </row>
    <row r="475168" spans="1:1" x14ac:dyDescent="0.2">
      <c r="A475168" s="97" t="s">
        <v>126</v>
      </c>
    </row>
    <row r="475169" spans="1:1" x14ac:dyDescent="0.2">
      <c r="A475169" s="97" t="s">
        <v>127</v>
      </c>
    </row>
    <row r="475170" spans="1:1" x14ac:dyDescent="0.2">
      <c r="A475170" s="97" t="s">
        <v>128</v>
      </c>
    </row>
    <row r="475171" spans="1:1" x14ac:dyDescent="0.2">
      <c r="A475171" s="97" t="s">
        <v>129</v>
      </c>
    </row>
    <row r="475172" spans="1:1" x14ac:dyDescent="0.2">
      <c r="A475172" s="97" t="s">
        <v>130</v>
      </c>
    </row>
    <row r="475173" spans="1:1" x14ac:dyDescent="0.2">
      <c r="A475173" s="97" t="s">
        <v>131</v>
      </c>
    </row>
    <row r="475174" spans="1:1" x14ac:dyDescent="0.2">
      <c r="A475174" s="97" t="s">
        <v>132</v>
      </c>
    </row>
    <row r="475175" spans="1:1" x14ac:dyDescent="0.2">
      <c r="A475175" s="97" t="s">
        <v>133</v>
      </c>
    </row>
    <row r="475176" spans="1:1" x14ac:dyDescent="0.2">
      <c r="A475176" s="97" t="s">
        <v>134</v>
      </c>
    </row>
    <row r="475177" spans="1:1" x14ac:dyDescent="0.2">
      <c r="A475177" s="97" t="s">
        <v>135</v>
      </c>
    </row>
    <row r="475178" spans="1:1" x14ac:dyDescent="0.2">
      <c r="A475178" s="97" t="s">
        <v>136</v>
      </c>
    </row>
    <row r="475179" spans="1:1" x14ac:dyDescent="0.2">
      <c r="A475179" s="97" t="s">
        <v>137</v>
      </c>
    </row>
    <row r="475180" spans="1:1" x14ac:dyDescent="0.2">
      <c r="A475180" s="97" t="s">
        <v>138</v>
      </c>
    </row>
    <row r="475181" spans="1:1" x14ac:dyDescent="0.2">
      <c r="A475181" s="97" t="s">
        <v>139</v>
      </c>
    </row>
    <row r="475182" spans="1:1" x14ac:dyDescent="0.2">
      <c r="A475182" s="97" t="s">
        <v>140</v>
      </c>
    </row>
    <row r="475183" spans="1:1" x14ac:dyDescent="0.2">
      <c r="A475183" s="97" t="s">
        <v>141</v>
      </c>
    </row>
    <row r="475184" spans="1:1" x14ac:dyDescent="0.2">
      <c r="A475184" s="97" t="s">
        <v>142</v>
      </c>
    </row>
    <row r="475185" spans="1:1" x14ac:dyDescent="0.2">
      <c r="A475185" s="97" t="s">
        <v>143</v>
      </c>
    </row>
    <row r="475186" spans="1:1" x14ac:dyDescent="0.2">
      <c r="A475186" s="97" t="s">
        <v>144</v>
      </c>
    </row>
    <row r="475187" spans="1:1" x14ac:dyDescent="0.2">
      <c r="A475187" s="97" t="s">
        <v>145</v>
      </c>
    </row>
    <row r="475188" spans="1:1" x14ac:dyDescent="0.2">
      <c r="A475188" s="97" t="s">
        <v>146</v>
      </c>
    </row>
    <row r="475189" spans="1:1" x14ac:dyDescent="0.2">
      <c r="A475189" s="97" t="s">
        <v>147</v>
      </c>
    </row>
    <row r="475190" spans="1:1" x14ac:dyDescent="0.2">
      <c r="A475190" s="97" t="s">
        <v>148</v>
      </c>
    </row>
    <row r="475191" spans="1:1" x14ac:dyDescent="0.2">
      <c r="A475191" s="97" t="s">
        <v>149</v>
      </c>
    </row>
    <row r="475192" spans="1:1" x14ac:dyDescent="0.2">
      <c r="A475192" s="97" t="s">
        <v>150</v>
      </c>
    </row>
    <row r="475193" spans="1:1" x14ac:dyDescent="0.2">
      <c r="A475193" s="97" t="s">
        <v>151</v>
      </c>
    </row>
    <row r="475194" spans="1:1" x14ac:dyDescent="0.2">
      <c r="A475194" s="97" t="s">
        <v>152</v>
      </c>
    </row>
    <row r="475195" spans="1:1" x14ac:dyDescent="0.2">
      <c r="A475195" s="97" t="s">
        <v>153</v>
      </c>
    </row>
    <row r="475196" spans="1:1" x14ac:dyDescent="0.2">
      <c r="A475196" s="97" t="s">
        <v>154</v>
      </c>
    </row>
    <row r="475197" spans="1:1" x14ac:dyDescent="0.2">
      <c r="A475197" s="97" t="s">
        <v>155</v>
      </c>
    </row>
    <row r="475198" spans="1:1" x14ac:dyDescent="0.2">
      <c r="A475198" s="97" t="s">
        <v>156</v>
      </c>
    </row>
    <row r="475199" spans="1:1" x14ac:dyDescent="0.2">
      <c r="A475199" s="97" t="s">
        <v>157</v>
      </c>
    </row>
    <row r="475200" spans="1:1" x14ac:dyDescent="0.2">
      <c r="A475200" s="97" t="s">
        <v>158</v>
      </c>
    </row>
    <row r="475201" spans="1:1" x14ac:dyDescent="0.2">
      <c r="A475201" s="97" t="s">
        <v>159</v>
      </c>
    </row>
    <row r="475202" spans="1:1" x14ac:dyDescent="0.2">
      <c r="A475202" s="97" t="s">
        <v>160</v>
      </c>
    </row>
    <row r="475203" spans="1:1" x14ac:dyDescent="0.2">
      <c r="A475203" s="97" t="s">
        <v>161</v>
      </c>
    </row>
    <row r="475204" spans="1:1" x14ac:dyDescent="0.2">
      <c r="A475204" s="97" t="s">
        <v>162</v>
      </c>
    </row>
    <row r="475205" spans="1:1" x14ac:dyDescent="0.2">
      <c r="A475205" s="97" t="s">
        <v>163</v>
      </c>
    </row>
    <row r="475206" spans="1:1" x14ac:dyDescent="0.2">
      <c r="A475206" s="97" t="s">
        <v>164</v>
      </c>
    </row>
    <row r="475207" spans="1:1" x14ac:dyDescent="0.2">
      <c r="A475207" s="97" t="s">
        <v>165</v>
      </c>
    </row>
    <row r="475208" spans="1:1" x14ac:dyDescent="0.2">
      <c r="A475208" s="97" t="s">
        <v>166</v>
      </c>
    </row>
    <row r="475209" spans="1:1" x14ac:dyDescent="0.2">
      <c r="A475209" s="97" t="s">
        <v>167</v>
      </c>
    </row>
    <row r="475210" spans="1:1" x14ac:dyDescent="0.2">
      <c r="A475210" s="97" t="s">
        <v>168</v>
      </c>
    </row>
    <row r="475211" spans="1:1" x14ac:dyDescent="0.2">
      <c r="A475211" s="97" t="s">
        <v>169</v>
      </c>
    </row>
    <row r="475212" spans="1:1" x14ac:dyDescent="0.2">
      <c r="A475212" s="97" t="s">
        <v>170</v>
      </c>
    </row>
    <row r="475213" spans="1:1" x14ac:dyDescent="0.2">
      <c r="A475213" s="97" t="s">
        <v>171</v>
      </c>
    </row>
    <row r="475214" spans="1:1" x14ac:dyDescent="0.2">
      <c r="A475214" s="97" t="s">
        <v>172</v>
      </c>
    </row>
    <row r="475215" spans="1:1" x14ac:dyDescent="0.2">
      <c r="A475215" s="97" t="s">
        <v>173</v>
      </c>
    </row>
    <row r="475216" spans="1:1" x14ac:dyDescent="0.2">
      <c r="A475216" s="97" t="s">
        <v>174</v>
      </c>
    </row>
    <row r="475217" spans="1:1" x14ac:dyDescent="0.2">
      <c r="A475217" s="97" t="s">
        <v>175</v>
      </c>
    </row>
    <row r="475218" spans="1:1" x14ac:dyDescent="0.2">
      <c r="A475218" s="97" t="s">
        <v>176</v>
      </c>
    </row>
    <row r="475219" spans="1:1" x14ac:dyDescent="0.2">
      <c r="A475219" s="97" t="s">
        <v>177</v>
      </c>
    </row>
    <row r="475220" spans="1:1" x14ac:dyDescent="0.2">
      <c r="A475220" s="97" t="s">
        <v>178</v>
      </c>
    </row>
    <row r="475221" spans="1:1" x14ac:dyDescent="0.2">
      <c r="A475221" s="97" t="s">
        <v>179</v>
      </c>
    </row>
    <row r="475222" spans="1:1" x14ac:dyDescent="0.2">
      <c r="A475222" s="97" t="s">
        <v>180</v>
      </c>
    </row>
    <row r="475223" spans="1:1" x14ac:dyDescent="0.2">
      <c r="A475223" s="97" t="s">
        <v>181</v>
      </c>
    </row>
    <row r="475224" spans="1:1" x14ac:dyDescent="0.2">
      <c r="A475224" s="97" t="s">
        <v>182</v>
      </c>
    </row>
    <row r="475225" spans="1:1" x14ac:dyDescent="0.2">
      <c r="A475225" s="97" t="s">
        <v>183</v>
      </c>
    </row>
    <row r="491521" spans="1:1" x14ac:dyDescent="0.2">
      <c r="A491521" s="97" t="s">
        <v>95</v>
      </c>
    </row>
    <row r="491522" spans="1:1" x14ac:dyDescent="0.2">
      <c r="A491522" s="97" t="s">
        <v>96</v>
      </c>
    </row>
    <row r="491523" spans="1:1" x14ac:dyDescent="0.2">
      <c r="A491523" s="97" t="s">
        <v>97</v>
      </c>
    </row>
    <row r="491524" spans="1:1" x14ac:dyDescent="0.2">
      <c r="A491524" s="97" t="s">
        <v>98</v>
      </c>
    </row>
    <row r="491525" spans="1:1" x14ac:dyDescent="0.2">
      <c r="A491525" s="97" t="s">
        <v>99</v>
      </c>
    </row>
    <row r="491526" spans="1:1" x14ac:dyDescent="0.2">
      <c r="A491526" s="97" t="s">
        <v>100</v>
      </c>
    </row>
    <row r="491527" spans="1:1" x14ac:dyDescent="0.2">
      <c r="A491527" s="97" t="s">
        <v>101</v>
      </c>
    </row>
    <row r="491528" spans="1:1" x14ac:dyDescent="0.2">
      <c r="A491528" s="97" t="s">
        <v>102</v>
      </c>
    </row>
    <row r="491529" spans="1:1" x14ac:dyDescent="0.2">
      <c r="A491529" s="97" t="s">
        <v>103</v>
      </c>
    </row>
    <row r="491530" spans="1:1" x14ac:dyDescent="0.2">
      <c r="A491530" s="97" t="s">
        <v>104</v>
      </c>
    </row>
    <row r="491531" spans="1:1" x14ac:dyDescent="0.2">
      <c r="A491531" s="97" t="s">
        <v>105</v>
      </c>
    </row>
    <row r="491532" spans="1:1" x14ac:dyDescent="0.2">
      <c r="A491532" s="97" t="s">
        <v>106</v>
      </c>
    </row>
    <row r="491533" spans="1:1" x14ac:dyDescent="0.2">
      <c r="A491533" s="97" t="s">
        <v>107</v>
      </c>
    </row>
    <row r="491534" spans="1:1" x14ac:dyDescent="0.2">
      <c r="A491534" s="97" t="s">
        <v>108</v>
      </c>
    </row>
    <row r="491535" spans="1:1" x14ac:dyDescent="0.2">
      <c r="A491535" s="97" t="s">
        <v>109</v>
      </c>
    </row>
    <row r="491536" spans="1:1" x14ac:dyDescent="0.2">
      <c r="A491536" s="97" t="s">
        <v>110</v>
      </c>
    </row>
    <row r="491537" spans="1:1" x14ac:dyDescent="0.2">
      <c r="A491537" s="97" t="s">
        <v>111</v>
      </c>
    </row>
    <row r="491538" spans="1:1" x14ac:dyDescent="0.2">
      <c r="A491538" s="97" t="s">
        <v>112</v>
      </c>
    </row>
    <row r="491539" spans="1:1" x14ac:dyDescent="0.2">
      <c r="A491539" s="97" t="s">
        <v>113</v>
      </c>
    </row>
    <row r="491540" spans="1:1" x14ac:dyDescent="0.2">
      <c r="A491540" s="97" t="s">
        <v>114</v>
      </c>
    </row>
    <row r="491541" spans="1:1" x14ac:dyDescent="0.2">
      <c r="A491541" s="97" t="s">
        <v>115</v>
      </c>
    </row>
    <row r="491542" spans="1:1" x14ac:dyDescent="0.2">
      <c r="A491542" s="97" t="s">
        <v>116</v>
      </c>
    </row>
    <row r="491543" spans="1:1" x14ac:dyDescent="0.2">
      <c r="A491543" s="97" t="s">
        <v>117</v>
      </c>
    </row>
    <row r="491544" spans="1:1" x14ac:dyDescent="0.2">
      <c r="A491544" s="97" t="s">
        <v>118</v>
      </c>
    </row>
    <row r="491545" spans="1:1" x14ac:dyDescent="0.2">
      <c r="A491545" s="97" t="s">
        <v>119</v>
      </c>
    </row>
    <row r="491546" spans="1:1" x14ac:dyDescent="0.2">
      <c r="A491546" s="97" t="s">
        <v>120</v>
      </c>
    </row>
    <row r="491547" spans="1:1" x14ac:dyDescent="0.2">
      <c r="A491547" s="97" t="s">
        <v>121</v>
      </c>
    </row>
    <row r="491548" spans="1:1" x14ac:dyDescent="0.2">
      <c r="A491548" s="97" t="s">
        <v>122</v>
      </c>
    </row>
    <row r="491549" spans="1:1" x14ac:dyDescent="0.2">
      <c r="A491549" s="97" t="s">
        <v>123</v>
      </c>
    </row>
    <row r="491550" spans="1:1" x14ac:dyDescent="0.2">
      <c r="A491550" s="97" t="s">
        <v>124</v>
      </c>
    </row>
    <row r="491551" spans="1:1" x14ac:dyDescent="0.2">
      <c r="A491551" s="97" t="s">
        <v>125</v>
      </c>
    </row>
    <row r="491552" spans="1:1" x14ac:dyDescent="0.2">
      <c r="A491552" s="97" t="s">
        <v>126</v>
      </c>
    </row>
    <row r="491553" spans="1:1" x14ac:dyDescent="0.2">
      <c r="A491553" s="97" t="s">
        <v>127</v>
      </c>
    </row>
    <row r="491554" spans="1:1" x14ac:dyDescent="0.2">
      <c r="A491554" s="97" t="s">
        <v>128</v>
      </c>
    </row>
    <row r="491555" spans="1:1" x14ac:dyDescent="0.2">
      <c r="A491555" s="97" t="s">
        <v>129</v>
      </c>
    </row>
    <row r="491556" spans="1:1" x14ac:dyDescent="0.2">
      <c r="A491556" s="97" t="s">
        <v>130</v>
      </c>
    </row>
    <row r="491557" spans="1:1" x14ac:dyDescent="0.2">
      <c r="A491557" s="97" t="s">
        <v>131</v>
      </c>
    </row>
    <row r="491558" spans="1:1" x14ac:dyDescent="0.2">
      <c r="A491558" s="97" t="s">
        <v>132</v>
      </c>
    </row>
    <row r="491559" spans="1:1" x14ac:dyDescent="0.2">
      <c r="A491559" s="97" t="s">
        <v>133</v>
      </c>
    </row>
    <row r="491560" spans="1:1" x14ac:dyDescent="0.2">
      <c r="A491560" s="97" t="s">
        <v>134</v>
      </c>
    </row>
    <row r="491561" spans="1:1" x14ac:dyDescent="0.2">
      <c r="A491561" s="97" t="s">
        <v>135</v>
      </c>
    </row>
    <row r="491562" spans="1:1" x14ac:dyDescent="0.2">
      <c r="A491562" s="97" t="s">
        <v>136</v>
      </c>
    </row>
    <row r="491563" spans="1:1" x14ac:dyDescent="0.2">
      <c r="A491563" s="97" t="s">
        <v>137</v>
      </c>
    </row>
    <row r="491564" spans="1:1" x14ac:dyDescent="0.2">
      <c r="A491564" s="97" t="s">
        <v>138</v>
      </c>
    </row>
    <row r="491565" spans="1:1" x14ac:dyDescent="0.2">
      <c r="A491565" s="97" t="s">
        <v>139</v>
      </c>
    </row>
    <row r="491566" spans="1:1" x14ac:dyDescent="0.2">
      <c r="A491566" s="97" t="s">
        <v>140</v>
      </c>
    </row>
    <row r="491567" spans="1:1" x14ac:dyDescent="0.2">
      <c r="A491567" s="97" t="s">
        <v>141</v>
      </c>
    </row>
    <row r="491568" spans="1:1" x14ac:dyDescent="0.2">
      <c r="A491568" s="97" t="s">
        <v>142</v>
      </c>
    </row>
    <row r="491569" spans="1:1" x14ac:dyDescent="0.2">
      <c r="A491569" s="97" t="s">
        <v>143</v>
      </c>
    </row>
    <row r="491570" spans="1:1" x14ac:dyDescent="0.2">
      <c r="A491570" s="97" t="s">
        <v>144</v>
      </c>
    </row>
    <row r="491571" spans="1:1" x14ac:dyDescent="0.2">
      <c r="A491571" s="97" t="s">
        <v>145</v>
      </c>
    </row>
    <row r="491572" spans="1:1" x14ac:dyDescent="0.2">
      <c r="A491572" s="97" t="s">
        <v>146</v>
      </c>
    </row>
    <row r="491573" spans="1:1" x14ac:dyDescent="0.2">
      <c r="A491573" s="97" t="s">
        <v>147</v>
      </c>
    </row>
    <row r="491574" spans="1:1" x14ac:dyDescent="0.2">
      <c r="A491574" s="97" t="s">
        <v>148</v>
      </c>
    </row>
    <row r="491575" spans="1:1" x14ac:dyDescent="0.2">
      <c r="A491575" s="97" t="s">
        <v>149</v>
      </c>
    </row>
    <row r="491576" spans="1:1" x14ac:dyDescent="0.2">
      <c r="A491576" s="97" t="s">
        <v>150</v>
      </c>
    </row>
    <row r="491577" spans="1:1" x14ac:dyDescent="0.2">
      <c r="A491577" s="97" t="s">
        <v>151</v>
      </c>
    </row>
    <row r="491578" spans="1:1" x14ac:dyDescent="0.2">
      <c r="A491578" s="97" t="s">
        <v>152</v>
      </c>
    </row>
    <row r="491579" spans="1:1" x14ac:dyDescent="0.2">
      <c r="A491579" s="97" t="s">
        <v>153</v>
      </c>
    </row>
    <row r="491580" spans="1:1" x14ac:dyDescent="0.2">
      <c r="A491580" s="97" t="s">
        <v>154</v>
      </c>
    </row>
    <row r="491581" spans="1:1" x14ac:dyDescent="0.2">
      <c r="A491581" s="97" t="s">
        <v>155</v>
      </c>
    </row>
    <row r="491582" spans="1:1" x14ac:dyDescent="0.2">
      <c r="A491582" s="97" t="s">
        <v>156</v>
      </c>
    </row>
    <row r="491583" spans="1:1" x14ac:dyDescent="0.2">
      <c r="A491583" s="97" t="s">
        <v>157</v>
      </c>
    </row>
    <row r="491584" spans="1:1" x14ac:dyDescent="0.2">
      <c r="A491584" s="97" t="s">
        <v>158</v>
      </c>
    </row>
    <row r="491585" spans="1:1" x14ac:dyDescent="0.2">
      <c r="A491585" s="97" t="s">
        <v>159</v>
      </c>
    </row>
    <row r="491586" spans="1:1" x14ac:dyDescent="0.2">
      <c r="A491586" s="97" t="s">
        <v>160</v>
      </c>
    </row>
    <row r="491587" spans="1:1" x14ac:dyDescent="0.2">
      <c r="A491587" s="97" t="s">
        <v>161</v>
      </c>
    </row>
    <row r="491588" spans="1:1" x14ac:dyDescent="0.2">
      <c r="A491588" s="97" t="s">
        <v>162</v>
      </c>
    </row>
    <row r="491589" spans="1:1" x14ac:dyDescent="0.2">
      <c r="A491589" s="97" t="s">
        <v>163</v>
      </c>
    </row>
    <row r="491590" spans="1:1" x14ac:dyDescent="0.2">
      <c r="A491590" s="97" t="s">
        <v>164</v>
      </c>
    </row>
    <row r="491591" spans="1:1" x14ac:dyDescent="0.2">
      <c r="A491591" s="97" t="s">
        <v>165</v>
      </c>
    </row>
    <row r="491592" spans="1:1" x14ac:dyDescent="0.2">
      <c r="A491592" s="97" t="s">
        <v>166</v>
      </c>
    </row>
    <row r="491593" spans="1:1" x14ac:dyDescent="0.2">
      <c r="A491593" s="97" t="s">
        <v>167</v>
      </c>
    </row>
    <row r="491594" spans="1:1" x14ac:dyDescent="0.2">
      <c r="A491594" s="97" t="s">
        <v>168</v>
      </c>
    </row>
    <row r="491595" spans="1:1" x14ac:dyDescent="0.2">
      <c r="A491595" s="97" t="s">
        <v>169</v>
      </c>
    </row>
    <row r="491596" spans="1:1" x14ac:dyDescent="0.2">
      <c r="A491596" s="97" t="s">
        <v>170</v>
      </c>
    </row>
    <row r="491597" spans="1:1" x14ac:dyDescent="0.2">
      <c r="A491597" s="97" t="s">
        <v>171</v>
      </c>
    </row>
    <row r="491598" spans="1:1" x14ac:dyDescent="0.2">
      <c r="A491598" s="97" t="s">
        <v>172</v>
      </c>
    </row>
    <row r="491599" spans="1:1" x14ac:dyDescent="0.2">
      <c r="A491599" s="97" t="s">
        <v>173</v>
      </c>
    </row>
    <row r="491600" spans="1:1" x14ac:dyDescent="0.2">
      <c r="A491600" s="97" t="s">
        <v>174</v>
      </c>
    </row>
    <row r="491601" spans="1:1" x14ac:dyDescent="0.2">
      <c r="A491601" s="97" t="s">
        <v>175</v>
      </c>
    </row>
    <row r="491602" spans="1:1" x14ac:dyDescent="0.2">
      <c r="A491602" s="97" t="s">
        <v>176</v>
      </c>
    </row>
    <row r="491603" spans="1:1" x14ac:dyDescent="0.2">
      <c r="A491603" s="97" t="s">
        <v>177</v>
      </c>
    </row>
    <row r="491604" spans="1:1" x14ac:dyDescent="0.2">
      <c r="A491604" s="97" t="s">
        <v>178</v>
      </c>
    </row>
    <row r="491605" spans="1:1" x14ac:dyDescent="0.2">
      <c r="A491605" s="97" t="s">
        <v>179</v>
      </c>
    </row>
    <row r="491606" spans="1:1" x14ac:dyDescent="0.2">
      <c r="A491606" s="97" t="s">
        <v>180</v>
      </c>
    </row>
    <row r="491607" spans="1:1" x14ac:dyDescent="0.2">
      <c r="A491607" s="97" t="s">
        <v>181</v>
      </c>
    </row>
    <row r="491608" spans="1:1" x14ac:dyDescent="0.2">
      <c r="A491608" s="97" t="s">
        <v>182</v>
      </c>
    </row>
    <row r="491609" spans="1:1" x14ac:dyDescent="0.2">
      <c r="A491609" s="97" t="s">
        <v>183</v>
      </c>
    </row>
    <row r="507905" spans="1:1" x14ac:dyDescent="0.2">
      <c r="A507905" s="97" t="s">
        <v>95</v>
      </c>
    </row>
    <row r="507906" spans="1:1" x14ac:dyDescent="0.2">
      <c r="A507906" s="97" t="s">
        <v>96</v>
      </c>
    </row>
    <row r="507907" spans="1:1" x14ac:dyDescent="0.2">
      <c r="A507907" s="97" t="s">
        <v>97</v>
      </c>
    </row>
    <row r="507908" spans="1:1" x14ac:dyDescent="0.2">
      <c r="A507908" s="97" t="s">
        <v>98</v>
      </c>
    </row>
    <row r="507909" spans="1:1" x14ac:dyDescent="0.2">
      <c r="A507909" s="97" t="s">
        <v>99</v>
      </c>
    </row>
    <row r="507910" spans="1:1" x14ac:dyDescent="0.2">
      <c r="A507910" s="97" t="s">
        <v>100</v>
      </c>
    </row>
    <row r="507911" spans="1:1" x14ac:dyDescent="0.2">
      <c r="A507911" s="97" t="s">
        <v>101</v>
      </c>
    </row>
    <row r="507912" spans="1:1" x14ac:dyDescent="0.2">
      <c r="A507912" s="97" t="s">
        <v>102</v>
      </c>
    </row>
    <row r="507913" spans="1:1" x14ac:dyDescent="0.2">
      <c r="A507913" s="97" t="s">
        <v>103</v>
      </c>
    </row>
    <row r="507914" spans="1:1" x14ac:dyDescent="0.2">
      <c r="A507914" s="97" t="s">
        <v>104</v>
      </c>
    </row>
    <row r="507915" spans="1:1" x14ac:dyDescent="0.2">
      <c r="A507915" s="97" t="s">
        <v>105</v>
      </c>
    </row>
    <row r="507916" spans="1:1" x14ac:dyDescent="0.2">
      <c r="A507916" s="97" t="s">
        <v>106</v>
      </c>
    </row>
    <row r="507917" spans="1:1" x14ac:dyDescent="0.2">
      <c r="A507917" s="97" t="s">
        <v>107</v>
      </c>
    </row>
    <row r="507918" spans="1:1" x14ac:dyDescent="0.2">
      <c r="A507918" s="97" t="s">
        <v>108</v>
      </c>
    </row>
    <row r="507919" spans="1:1" x14ac:dyDescent="0.2">
      <c r="A507919" s="97" t="s">
        <v>109</v>
      </c>
    </row>
    <row r="507920" spans="1:1" x14ac:dyDescent="0.2">
      <c r="A507920" s="97" t="s">
        <v>110</v>
      </c>
    </row>
    <row r="507921" spans="1:1" x14ac:dyDescent="0.2">
      <c r="A507921" s="97" t="s">
        <v>111</v>
      </c>
    </row>
    <row r="507922" spans="1:1" x14ac:dyDescent="0.2">
      <c r="A507922" s="97" t="s">
        <v>112</v>
      </c>
    </row>
    <row r="507923" spans="1:1" x14ac:dyDescent="0.2">
      <c r="A507923" s="97" t="s">
        <v>113</v>
      </c>
    </row>
    <row r="507924" spans="1:1" x14ac:dyDescent="0.2">
      <c r="A507924" s="97" t="s">
        <v>114</v>
      </c>
    </row>
    <row r="507925" spans="1:1" x14ac:dyDescent="0.2">
      <c r="A507925" s="97" t="s">
        <v>115</v>
      </c>
    </row>
    <row r="507926" spans="1:1" x14ac:dyDescent="0.2">
      <c r="A507926" s="97" t="s">
        <v>116</v>
      </c>
    </row>
    <row r="507927" spans="1:1" x14ac:dyDescent="0.2">
      <c r="A507927" s="97" t="s">
        <v>117</v>
      </c>
    </row>
    <row r="507928" spans="1:1" x14ac:dyDescent="0.2">
      <c r="A507928" s="97" t="s">
        <v>118</v>
      </c>
    </row>
    <row r="507929" spans="1:1" x14ac:dyDescent="0.2">
      <c r="A507929" s="97" t="s">
        <v>119</v>
      </c>
    </row>
    <row r="507930" spans="1:1" x14ac:dyDescent="0.2">
      <c r="A507930" s="97" t="s">
        <v>120</v>
      </c>
    </row>
    <row r="507931" spans="1:1" x14ac:dyDescent="0.2">
      <c r="A507931" s="97" t="s">
        <v>121</v>
      </c>
    </row>
    <row r="507932" spans="1:1" x14ac:dyDescent="0.2">
      <c r="A507932" s="97" t="s">
        <v>122</v>
      </c>
    </row>
    <row r="507933" spans="1:1" x14ac:dyDescent="0.2">
      <c r="A507933" s="97" t="s">
        <v>123</v>
      </c>
    </row>
    <row r="507934" spans="1:1" x14ac:dyDescent="0.2">
      <c r="A507934" s="97" t="s">
        <v>124</v>
      </c>
    </row>
    <row r="507935" spans="1:1" x14ac:dyDescent="0.2">
      <c r="A507935" s="97" t="s">
        <v>125</v>
      </c>
    </row>
    <row r="507936" spans="1:1" x14ac:dyDescent="0.2">
      <c r="A507936" s="97" t="s">
        <v>126</v>
      </c>
    </row>
    <row r="507937" spans="1:1" x14ac:dyDescent="0.2">
      <c r="A507937" s="97" t="s">
        <v>127</v>
      </c>
    </row>
    <row r="507938" spans="1:1" x14ac:dyDescent="0.2">
      <c r="A507938" s="97" t="s">
        <v>128</v>
      </c>
    </row>
    <row r="507939" spans="1:1" x14ac:dyDescent="0.2">
      <c r="A507939" s="97" t="s">
        <v>129</v>
      </c>
    </row>
    <row r="507940" spans="1:1" x14ac:dyDescent="0.2">
      <c r="A507940" s="97" t="s">
        <v>130</v>
      </c>
    </row>
    <row r="507941" spans="1:1" x14ac:dyDescent="0.2">
      <c r="A507941" s="97" t="s">
        <v>131</v>
      </c>
    </row>
    <row r="507942" spans="1:1" x14ac:dyDescent="0.2">
      <c r="A507942" s="97" t="s">
        <v>132</v>
      </c>
    </row>
    <row r="507943" spans="1:1" x14ac:dyDescent="0.2">
      <c r="A507943" s="97" t="s">
        <v>133</v>
      </c>
    </row>
    <row r="507944" spans="1:1" x14ac:dyDescent="0.2">
      <c r="A507944" s="97" t="s">
        <v>134</v>
      </c>
    </row>
    <row r="507945" spans="1:1" x14ac:dyDescent="0.2">
      <c r="A507945" s="97" t="s">
        <v>135</v>
      </c>
    </row>
    <row r="507946" spans="1:1" x14ac:dyDescent="0.2">
      <c r="A507946" s="97" t="s">
        <v>136</v>
      </c>
    </row>
    <row r="507947" spans="1:1" x14ac:dyDescent="0.2">
      <c r="A507947" s="97" t="s">
        <v>137</v>
      </c>
    </row>
    <row r="507948" spans="1:1" x14ac:dyDescent="0.2">
      <c r="A507948" s="97" t="s">
        <v>138</v>
      </c>
    </row>
    <row r="507949" spans="1:1" x14ac:dyDescent="0.2">
      <c r="A507949" s="97" t="s">
        <v>139</v>
      </c>
    </row>
    <row r="507950" spans="1:1" x14ac:dyDescent="0.2">
      <c r="A507950" s="97" t="s">
        <v>140</v>
      </c>
    </row>
    <row r="507951" spans="1:1" x14ac:dyDescent="0.2">
      <c r="A507951" s="97" t="s">
        <v>141</v>
      </c>
    </row>
    <row r="507952" spans="1:1" x14ac:dyDescent="0.2">
      <c r="A507952" s="97" t="s">
        <v>142</v>
      </c>
    </row>
    <row r="507953" spans="1:1" x14ac:dyDescent="0.2">
      <c r="A507953" s="97" t="s">
        <v>143</v>
      </c>
    </row>
    <row r="507954" spans="1:1" x14ac:dyDescent="0.2">
      <c r="A507954" s="97" t="s">
        <v>144</v>
      </c>
    </row>
    <row r="507955" spans="1:1" x14ac:dyDescent="0.2">
      <c r="A507955" s="97" t="s">
        <v>145</v>
      </c>
    </row>
    <row r="507956" spans="1:1" x14ac:dyDescent="0.2">
      <c r="A507956" s="97" t="s">
        <v>146</v>
      </c>
    </row>
    <row r="507957" spans="1:1" x14ac:dyDescent="0.2">
      <c r="A507957" s="97" t="s">
        <v>147</v>
      </c>
    </row>
    <row r="507958" spans="1:1" x14ac:dyDescent="0.2">
      <c r="A507958" s="97" t="s">
        <v>148</v>
      </c>
    </row>
    <row r="507959" spans="1:1" x14ac:dyDescent="0.2">
      <c r="A507959" s="97" t="s">
        <v>149</v>
      </c>
    </row>
    <row r="507960" spans="1:1" x14ac:dyDescent="0.2">
      <c r="A507960" s="97" t="s">
        <v>150</v>
      </c>
    </row>
    <row r="507961" spans="1:1" x14ac:dyDescent="0.2">
      <c r="A507961" s="97" t="s">
        <v>151</v>
      </c>
    </row>
    <row r="507962" spans="1:1" x14ac:dyDescent="0.2">
      <c r="A507962" s="97" t="s">
        <v>152</v>
      </c>
    </row>
    <row r="507963" spans="1:1" x14ac:dyDescent="0.2">
      <c r="A507963" s="97" t="s">
        <v>153</v>
      </c>
    </row>
    <row r="507964" spans="1:1" x14ac:dyDescent="0.2">
      <c r="A507964" s="97" t="s">
        <v>154</v>
      </c>
    </row>
    <row r="507965" spans="1:1" x14ac:dyDescent="0.2">
      <c r="A507965" s="97" t="s">
        <v>155</v>
      </c>
    </row>
    <row r="507966" spans="1:1" x14ac:dyDescent="0.2">
      <c r="A507966" s="97" t="s">
        <v>156</v>
      </c>
    </row>
    <row r="507967" spans="1:1" x14ac:dyDescent="0.2">
      <c r="A507967" s="97" t="s">
        <v>157</v>
      </c>
    </row>
    <row r="507968" spans="1:1" x14ac:dyDescent="0.2">
      <c r="A507968" s="97" t="s">
        <v>158</v>
      </c>
    </row>
    <row r="507969" spans="1:1" x14ac:dyDescent="0.2">
      <c r="A507969" s="97" t="s">
        <v>159</v>
      </c>
    </row>
    <row r="507970" spans="1:1" x14ac:dyDescent="0.2">
      <c r="A507970" s="97" t="s">
        <v>160</v>
      </c>
    </row>
    <row r="507971" spans="1:1" x14ac:dyDescent="0.2">
      <c r="A507971" s="97" t="s">
        <v>161</v>
      </c>
    </row>
    <row r="507972" spans="1:1" x14ac:dyDescent="0.2">
      <c r="A507972" s="97" t="s">
        <v>162</v>
      </c>
    </row>
    <row r="507973" spans="1:1" x14ac:dyDescent="0.2">
      <c r="A507973" s="97" t="s">
        <v>163</v>
      </c>
    </row>
    <row r="507974" spans="1:1" x14ac:dyDescent="0.2">
      <c r="A507974" s="97" t="s">
        <v>164</v>
      </c>
    </row>
    <row r="507975" spans="1:1" x14ac:dyDescent="0.2">
      <c r="A507975" s="97" t="s">
        <v>165</v>
      </c>
    </row>
    <row r="507976" spans="1:1" x14ac:dyDescent="0.2">
      <c r="A507976" s="97" t="s">
        <v>166</v>
      </c>
    </row>
    <row r="507977" spans="1:1" x14ac:dyDescent="0.2">
      <c r="A507977" s="97" t="s">
        <v>167</v>
      </c>
    </row>
    <row r="507978" spans="1:1" x14ac:dyDescent="0.2">
      <c r="A507978" s="97" t="s">
        <v>168</v>
      </c>
    </row>
    <row r="507979" spans="1:1" x14ac:dyDescent="0.2">
      <c r="A507979" s="97" t="s">
        <v>169</v>
      </c>
    </row>
    <row r="507980" spans="1:1" x14ac:dyDescent="0.2">
      <c r="A507980" s="97" t="s">
        <v>170</v>
      </c>
    </row>
    <row r="507981" spans="1:1" x14ac:dyDescent="0.2">
      <c r="A507981" s="97" t="s">
        <v>171</v>
      </c>
    </row>
    <row r="507982" spans="1:1" x14ac:dyDescent="0.2">
      <c r="A507982" s="97" t="s">
        <v>172</v>
      </c>
    </row>
    <row r="507983" spans="1:1" x14ac:dyDescent="0.2">
      <c r="A507983" s="97" t="s">
        <v>173</v>
      </c>
    </row>
    <row r="507984" spans="1:1" x14ac:dyDescent="0.2">
      <c r="A507984" s="97" t="s">
        <v>174</v>
      </c>
    </row>
    <row r="507985" spans="1:1" x14ac:dyDescent="0.2">
      <c r="A507985" s="97" t="s">
        <v>175</v>
      </c>
    </row>
    <row r="507986" spans="1:1" x14ac:dyDescent="0.2">
      <c r="A507986" s="97" t="s">
        <v>176</v>
      </c>
    </row>
    <row r="507987" spans="1:1" x14ac:dyDescent="0.2">
      <c r="A507987" s="97" t="s">
        <v>177</v>
      </c>
    </row>
    <row r="507988" spans="1:1" x14ac:dyDescent="0.2">
      <c r="A507988" s="97" t="s">
        <v>178</v>
      </c>
    </row>
    <row r="507989" spans="1:1" x14ac:dyDescent="0.2">
      <c r="A507989" s="97" t="s">
        <v>179</v>
      </c>
    </row>
    <row r="507990" spans="1:1" x14ac:dyDescent="0.2">
      <c r="A507990" s="97" t="s">
        <v>180</v>
      </c>
    </row>
    <row r="507991" spans="1:1" x14ac:dyDescent="0.2">
      <c r="A507991" s="97" t="s">
        <v>181</v>
      </c>
    </row>
    <row r="507992" spans="1:1" x14ac:dyDescent="0.2">
      <c r="A507992" s="97" t="s">
        <v>182</v>
      </c>
    </row>
    <row r="507993" spans="1:1" x14ac:dyDescent="0.2">
      <c r="A507993" s="97" t="s">
        <v>183</v>
      </c>
    </row>
    <row r="524289" spans="1:1" x14ac:dyDescent="0.2">
      <c r="A524289" s="97" t="s">
        <v>95</v>
      </c>
    </row>
    <row r="524290" spans="1:1" x14ac:dyDescent="0.2">
      <c r="A524290" s="97" t="s">
        <v>96</v>
      </c>
    </row>
    <row r="524291" spans="1:1" x14ac:dyDescent="0.2">
      <c r="A524291" s="97" t="s">
        <v>97</v>
      </c>
    </row>
    <row r="524292" spans="1:1" x14ac:dyDescent="0.2">
      <c r="A524292" s="97" t="s">
        <v>98</v>
      </c>
    </row>
    <row r="524293" spans="1:1" x14ac:dyDescent="0.2">
      <c r="A524293" s="97" t="s">
        <v>99</v>
      </c>
    </row>
    <row r="524294" spans="1:1" x14ac:dyDescent="0.2">
      <c r="A524294" s="97" t="s">
        <v>100</v>
      </c>
    </row>
    <row r="524295" spans="1:1" x14ac:dyDescent="0.2">
      <c r="A524295" s="97" t="s">
        <v>101</v>
      </c>
    </row>
    <row r="524296" spans="1:1" x14ac:dyDescent="0.2">
      <c r="A524296" s="97" t="s">
        <v>102</v>
      </c>
    </row>
    <row r="524297" spans="1:1" x14ac:dyDescent="0.2">
      <c r="A524297" s="97" t="s">
        <v>103</v>
      </c>
    </row>
    <row r="524298" spans="1:1" x14ac:dyDescent="0.2">
      <c r="A524298" s="97" t="s">
        <v>104</v>
      </c>
    </row>
    <row r="524299" spans="1:1" x14ac:dyDescent="0.2">
      <c r="A524299" s="97" t="s">
        <v>105</v>
      </c>
    </row>
    <row r="524300" spans="1:1" x14ac:dyDescent="0.2">
      <c r="A524300" s="97" t="s">
        <v>106</v>
      </c>
    </row>
    <row r="524301" spans="1:1" x14ac:dyDescent="0.2">
      <c r="A524301" s="97" t="s">
        <v>107</v>
      </c>
    </row>
    <row r="524302" spans="1:1" x14ac:dyDescent="0.2">
      <c r="A524302" s="97" t="s">
        <v>108</v>
      </c>
    </row>
    <row r="524303" spans="1:1" x14ac:dyDescent="0.2">
      <c r="A524303" s="97" t="s">
        <v>109</v>
      </c>
    </row>
    <row r="524304" spans="1:1" x14ac:dyDescent="0.2">
      <c r="A524304" s="97" t="s">
        <v>110</v>
      </c>
    </row>
    <row r="524305" spans="1:1" x14ac:dyDescent="0.2">
      <c r="A524305" s="97" t="s">
        <v>111</v>
      </c>
    </row>
    <row r="524306" spans="1:1" x14ac:dyDescent="0.2">
      <c r="A524306" s="97" t="s">
        <v>112</v>
      </c>
    </row>
    <row r="524307" spans="1:1" x14ac:dyDescent="0.2">
      <c r="A524307" s="97" t="s">
        <v>113</v>
      </c>
    </row>
    <row r="524308" spans="1:1" x14ac:dyDescent="0.2">
      <c r="A524308" s="97" t="s">
        <v>114</v>
      </c>
    </row>
    <row r="524309" spans="1:1" x14ac:dyDescent="0.2">
      <c r="A524309" s="97" t="s">
        <v>115</v>
      </c>
    </row>
    <row r="524310" spans="1:1" x14ac:dyDescent="0.2">
      <c r="A524310" s="97" t="s">
        <v>116</v>
      </c>
    </row>
    <row r="524311" spans="1:1" x14ac:dyDescent="0.2">
      <c r="A524311" s="97" t="s">
        <v>117</v>
      </c>
    </row>
    <row r="524312" spans="1:1" x14ac:dyDescent="0.2">
      <c r="A524312" s="97" t="s">
        <v>118</v>
      </c>
    </row>
    <row r="524313" spans="1:1" x14ac:dyDescent="0.2">
      <c r="A524313" s="97" t="s">
        <v>119</v>
      </c>
    </row>
    <row r="524314" spans="1:1" x14ac:dyDescent="0.2">
      <c r="A524314" s="97" t="s">
        <v>120</v>
      </c>
    </row>
    <row r="524315" spans="1:1" x14ac:dyDescent="0.2">
      <c r="A524315" s="97" t="s">
        <v>121</v>
      </c>
    </row>
    <row r="524316" spans="1:1" x14ac:dyDescent="0.2">
      <c r="A524316" s="97" t="s">
        <v>122</v>
      </c>
    </row>
    <row r="524317" spans="1:1" x14ac:dyDescent="0.2">
      <c r="A524317" s="97" t="s">
        <v>123</v>
      </c>
    </row>
    <row r="524318" spans="1:1" x14ac:dyDescent="0.2">
      <c r="A524318" s="97" t="s">
        <v>124</v>
      </c>
    </row>
    <row r="524319" spans="1:1" x14ac:dyDescent="0.2">
      <c r="A524319" s="97" t="s">
        <v>125</v>
      </c>
    </row>
    <row r="524320" spans="1:1" x14ac:dyDescent="0.2">
      <c r="A524320" s="97" t="s">
        <v>126</v>
      </c>
    </row>
    <row r="524321" spans="1:1" x14ac:dyDescent="0.2">
      <c r="A524321" s="97" t="s">
        <v>127</v>
      </c>
    </row>
    <row r="524322" spans="1:1" x14ac:dyDescent="0.2">
      <c r="A524322" s="97" t="s">
        <v>128</v>
      </c>
    </row>
    <row r="524323" spans="1:1" x14ac:dyDescent="0.2">
      <c r="A524323" s="97" t="s">
        <v>129</v>
      </c>
    </row>
    <row r="524324" spans="1:1" x14ac:dyDescent="0.2">
      <c r="A524324" s="97" t="s">
        <v>130</v>
      </c>
    </row>
    <row r="524325" spans="1:1" x14ac:dyDescent="0.2">
      <c r="A524325" s="97" t="s">
        <v>131</v>
      </c>
    </row>
    <row r="524326" spans="1:1" x14ac:dyDescent="0.2">
      <c r="A524326" s="97" t="s">
        <v>132</v>
      </c>
    </row>
    <row r="524327" spans="1:1" x14ac:dyDescent="0.2">
      <c r="A524327" s="97" t="s">
        <v>133</v>
      </c>
    </row>
    <row r="524328" spans="1:1" x14ac:dyDescent="0.2">
      <c r="A524328" s="97" t="s">
        <v>134</v>
      </c>
    </row>
    <row r="524329" spans="1:1" x14ac:dyDescent="0.2">
      <c r="A524329" s="97" t="s">
        <v>135</v>
      </c>
    </row>
    <row r="524330" spans="1:1" x14ac:dyDescent="0.2">
      <c r="A524330" s="97" t="s">
        <v>136</v>
      </c>
    </row>
    <row r="524331" spans="1:1" x14ac:dyDescent="0.2">
      <c r="A524331" s="97" t="s">
        <v>137</v>
      </c>
    </row>
    <row r="524332" spans="1:1" x14ac:dyDescent="0.2">
      <c r="A524332" s="97" t="s">
        <v>138</v>
      </c>
    </row>
    <row r="524333" spans="1:1" x14ac:dyDescent="0.2">
      <c r="A524333" s="97" t="s">
        <v>139</v>
      </c>
    </row>
    <row r="524334" spans="1:1" x14ac:dyDescent="0.2">
      <c r="A524334" s="97" t="s">
        <v>140</v>
      </c>
    </row>
    <row r="524335" spans="1:1" x14ac:dyDescent="0.2">
      <c r="A524335" s="97" t="s">
        <v>141</v>
      </c>
    </row>
    <row r="524336" spans="1:1" x14ac:dyDescent="0.2">
      <c r="A524336" s="97" t="s">
        <v>142</v>
      </c>
    </row>
    <row r="524337" spans="1:1" x14ac:dyDescent="0.2">
      <c r="A524337" s="97" t="s">
        <v>143</v>
      </c>
    </row>
    <row r="524338" spans="1:1" x14ac:dyDescent="0.2">
      <c r="A524338" s="97" t="s">
        <v>144</v>
      </c>
    </row>
    <row r="524339" spans="1:1" x14ac:dyDescent="0.2">
      <c r="A524339" s="97" t="s">
        <v>145</v>
      </c>
    </row>
    <row r="524340" spans="1:1" x14ac:dyDescent="0.2">
      <c r="A524340" s="97" t="s">
        <v>146</v>
      </c>
    </row>
    <row r="524341" spans="1:1" x14ac:dyDescent="0.2">
      <c r="A524341" s="97" t="s">
        <v>147</v>
      </c>
    </row>
    <row r="524342" spans="1:1" x14ac:dyDescent="0.2">
      <c r="A524342" s="97" t="s">
        <v>148</v>
      </c>
    </row>
    <row r="524343" spans="1:1" x14ac:dyDescent="0.2">
      <c r="A524343" s="97" t="s">
        <v>149</v>
      </c>
    </row>
    <row r="524344" spans="1:1" x14ac:dyDescent="0.2">
      <c r="A524344" s="97" t="s">
        <v>150</v>
      </c>
    </row>
    <row r="524345" spans="1:1" x14ac:dyDescent="0.2">
      <c r="A524345" s="97" t="s">
        <v>151</v>
      </c>
    </row>
    <row r="524346" spans="1:1" x14ac:dyDescent="0.2">
      <c r="A524346" s="97" t="s">
        <v>152</v>
      </c>
    </row>
    <row r="524347" spans="1:1" x14ac:dyDescent="0.2">
      <c r="A524347" s="97" t="s">
        <v>153</v>
      </c>
    </row>
    <row r="524348" spans="1:1" x14ac:dyDescent="0.2">
      <c r="A524348" s="97" t="s">
        <v>154</v>
      </c>
    </row>
    <row r="524349" spans="1:1" x14ac:dyDescent="0.2">
      <c r="A524349" s="97" t="s">
        <v>155</v>
      </c>
    </row>
    <row r="524350" spans="1:1" x14ac:dyDescent="0.2">
      <c r="A524350" s="97" t="s">
        <v>156</v>
      </c>
    </row>
    <row r="524351" spans="1:1" x14ac:dyDescent="0.2">
      <c r="A524351" s="97" t="s">
        <v>157</v>
      </c>
    </row>
    <row r="524352" spans="1:1" x14ac:dyDescent="0.2">
      <c r="A524352" s="97" t="s">
        <v>158</v>
      </c>
    </row>
    <row r="524353" spans="1:1" x14ac:dyDescent="0.2">
      <c r="A524353" s="97" t="s">
        <v>159</v>
      </c>
    </row>
    <row r="524354" spans="1:1" x14ac:dyDescent="0.2">
      <c r="A524354" s="97" t="s">
        <v>160</v>
      </c>
    </row>
    <row r="524355" spans="1:1" x14ac:dyDescent="0.2">
      <c r="A524355" s="97" t="s">
        <v>161</v>
      </c>
    </row>
    <row r="524356" spans="1:1" x14ac:dyDescent="0.2">
      <c r="A524356" s="97" t="s">
        <v>162</v>
      </c>
    </row>
    <row r="524357" spans="1:1" x14ac:dyDescent="0.2">
      <c r="A524357" s="97" t="s">
        <v>163</v>
      </c>
    </row>
    <row r="524358" spans="1:1" x14ac:dyDescent="0.2">
      <c r="A524358" s="97" t="s">
        <v>164</v>
      </c>
    </row>
    <row r="524359" spans="1:1" x14ac:dyDescent="0.2">
      <c r="A524359" s="97" t="s">
        <v>165</v>
      </c>
    </row>
    <row r="524360" spans="1:1" x14ac:dyDescent="0.2">
      <c r="A524360" s="97" t="s">
        <v>166</v>
      </c>
    </row>
    <row r="524361" spans="1:1" x14ac:dyDescent="0.2">
      <c r="A524361" s="97" t="s">
        <v>167</v>
      </c>
    </row>
    <row r="524362" spans="1:1" x14ac:dyDescent="0.2">
      <c r="A524362" s="97" t="s">
        <v>168</v>
      </c>
    </row>
    <row r="524363" spans="1:1" x14ac:dyDescent="0.2">
      <c r="A524363" s="97" t="s">
        <v>169</v>
      </c>
    </row>
    <row r="524364" spans="1:1" x14ac:dyDescent="0.2">
      <c r="A524364" s="97" t="s">
        <v>170</v>
      </c>
    </row>
    <row r="524365" spans="1:1" x14ac:dyDescent="0.2">
      <c r="A524365" s="97" t="s">
        <v>171</v>
      </c>
    </row>
    <row r="524366" spans="1:1" x14ac:dyDescent="0.2">
      <c r="A524366" s="97" t="s">
        <v>172</v>
      </c>
    </row>
    <row r="524367" spans="1:1" x14ac:dyDescent="0.2">
      <c r="A524367" s="97" t="s">
        <v>173</v>
      </c>
    </row>
    <row r="524368" spans="1:1" x14ac:dyDescent="0.2">
      <c r="A524368" s="97" t="s">
        <v>174</v>
      </c>
    </row>
    <row r="524369" spans="1:1" x14ac:dyDescent="0.2">
      <c r="A524369" s="97" t="s">
        <v>175</v>
      </c>
    </row>
    <row r="524370" spans="1:1" x14ac:dyDescent="0.2">
      <c r="A524370" s="97" t="s">
        <v>176</v>
      </c>
    </row>
    <row r="524371" spans="1:1" x14ac:dyDescent="0.2">
      <c r="A524371" s="97" t="s">
        <v>177</v>
      </c>
    </row>
    <row r="524372" spans="1:1" x14ac:dyDescent="0.2">
      <c r="A524372" s="97" t="s">
        <v>178</v>
      </c>
    </row>
    <row r="524373" spans="1:1" x14ac:dyDescent="0.2">
      <c r="A524373" s="97" t="s">
        <v>179</v>
      </c>
    </row>
    <row r="524374" spans="1:1" x14ac:dyDescent="0.2">
      <c r="A524374" s="97" t="s">
        <v>180</v>
      </c>
    </row>
    <row r="524375" spans="1:1" x14ac:dyDescent="0.2">
      <c r="A524375" s="97" t="s">
        <v>181</v>
      </c>
    </row>
    <row r="524376" spans="1:1" x14ac:dyDescent="0.2">
      <c r="A524376" s="97" t="s">
        <v>182</v>
      </c>
    </row>
    <row r="524377" spans="1:1" x14ac:dyDescent="0.2">
      <c r="A524377" s="97" t="s">
        <v>183</v>
      </c>
    </row>
    <row r="540673" spans="1:1" x14ac:dyDescent="0.2">
      <c r="A540673" s="97" t="s">
        <v>95</v>
      </c>
    </row>
    <row r="540674" spans="1:1" x14ac:dyDescent="0.2">
      <c r="A540674" s="97" t="s">
        <v>96</v>
      </c>
    </row>
    <row r="540675" spans="1:1" x14ac:dyDescent="0.2">
      <c r="A540675" s="97" t="s">
        <v>97</v>
      </c>
    </row>
    <row r="540676" spans="1:1" x14ac:dyDescent="0.2">
      <c r="A540676" s="97" t="s">
        <v>98</v>
      </c>
    </row>
    <row r="540677" spans="1:1" x14ac:dyDescent="0.2">
      <c r="A540677" s="97" t="s">
        <v>99</v>
      </c>
    </row>
    <row r="540678" spans="1:1" x14ac:dyDescent="0.2">
      <c r="A540678" s="97" t="s">
        <v>100</v>
      </c>
    </row>
    <row r="540679" spans="1:1" x14ac:dyDescent="0.2">
      <c r="A540679" s="97" t="s">
        <v>101</v>
      </c>
    </row>
    <row r="540680" spans="1:1" x14ac:dyDescent="0.2">
      <c r="A540680" s="97" t="s">
        <v>102</v>
      </c>
    </row>
    <row r="540681" spans="1:1" x14ac:dyDescent="0.2">
      <c r="A540681" s="97" t="s">
        <v>103</v>
      </c>
    </row>
    <row r="540682" spans="1:1" x14ac:dyDescent="0.2">
      <c r="A540682" s="97" t="s">
        <v>104</v>
      </c>
    </row>
    <row r="540683" spans="1:1" x14ac:dyDescent="0.2">
      <c r="A540683" s="97" t="s">
        <v>105</v>
      </c>
    </row>
    <row r="540684" spans="1:1" x14ac:dyDescent="0.2">
      <c r="A540684" s="97" t="s">
        <v>106</v>
      </c>
    </row>
    <row r="540685" spans="1:1" x14ac:dyDescent="0.2">
      <c r="A540685" s="97" t="s">
        <v>107</v>
      </c>
    </row>
    <row r="540686" spans="1:1" x14ac:dyDescent="0.2">
      <c r="A540686" s="97" t="s">
        <v>108</v>
      </c>
    </row>
    <row r="540687" spans="1:1" x14ac:dyDescent="0.2">
      <c r="A540687" s="97" t="s">
        <v>109</v>
      </c>
    </row>
    <row r="540688" spans="1:1" x14ac:dyDescent="0.2">
      <c r="A540688" s="97" t="s">
        <v>110</v>
      </c>
    </row>
    <row r="540689" spans="1:1" x14ac:dyDescent="0.2">
      <c r="A540689" s="97" t="s">
        <v>111</v>
      </c>
    </row>
    <row r="540690" spans="1:1" x14ac:dyDescent="0.2">
      <c r="A540690" s="97" t="s">
        <v>112</v>
      </c>
    </row>
    <row r="540691" spans="1:1" x14ac:dyDescent="0.2">
      <c r="A540691" s="97" t="s">
        <v>113</v>
      </c>
    </row>
    <row r="540692" spans="1:1" x14ac:dyDescent="0.2">
      <c r="A540692" s="97" t="s">
        <v>114</v>
      </c>
    </row>
    <row r="540693" spans="1:1" x14ac:dyDescent="0.2">
      <c r="A540693" s="97" t="s">
        <v>115</v>
      </c>
    </row>
    <row r="540694" spans="1:1" x14ac:dyDescent="0.2">
      <c r="A540694" s="97" t="s">
        <v>116</v>
      </c>
    </row>
    <row r="540695" spans="1:1" x14ac:dyDescent="0.2">
      <c r="A540695" s="97" t="s">
        <v>117</v>
      </c>
    </row>
    <row r="540696" spans="1:1" x14ac:dyDescent="0.2">
      <c r="A540696" s="97" t="s">
        <v>118</v>
      </c>
    </row>
    <row r="540697" spans="1:1" x14ac:dyDescent="0.2">
      <c r="A540697" s="97" t="s">
        <v>119</v>
      </c>
    </row>
    <row r="540698" spans="1:1" x14ac:dyDescent="0.2">
      <c r="A540698" s="97" t="s">
        <v>120</v>
      </c>
    </row>
    <row r="540699" spans="1:1" x14ac:dyDescent="0.2">
      <c r="A540699" s="97" t="s">
        <v>121</v>
      </c>
    </row>
    <row r="540700" spans="1:1" x14ac:dyDescent="0.2">
      <c r="A540700" s="97" t="s">
        <v>122</v>
      </c>
    </row>
    <row r="540701" spans="1:1" x14ac:dyDescent="0.2">
      <c r="A540701" s="97" t="s">
        <v>123</v>
      </c>
    </row>
    <row r="540702" spans="1:1" x14ac:dyDescent="0.2">
      <c r="A540702" s="97" t="s">
        <v>124</v>
      </c>
    </row>
    <row r="540703" spans="1:1" x14ac:dyDescent="0.2">
      <c r="A540703" s="97" t="s">
        <v>125</v>
      </c>
    </row>
    <row r="540704" spans="1:1" x14ac:dyDescent="0.2">
      <c r="A540704" s="97" t="s">
        <v>126</v>
      </c>
    </row>
    <row r="540705" spans="1:1" x14ac:dyDescent="0.2">
      <c r="A540705" s="97" t="s">
        <v>127</v>
      </c>
    </row>
    <row r="540706" spans="1:1" x14ac:dyDescent="0.2">
      <c r="A540706" s="97" t="s">
        <v>128</v>
      </c>
    </row>
    <row r="540707" spans="1:1" x14ac:dyDescent="0.2">
      <c r="A540707" s="97" t="s">
        <v>129</v>
      </c>
    </row>
    <row r="540708" spans="1:1" x14ac:dyDescent="0.2">
      <c r="A540708" s="97" t="s">
        <v>130</v>
      </c>
    </row>
    <row r="540709" spans="1:1" x14ac:dyDescent="0.2">
      <c r="A540709" s="97" t="s">
        <v>131</v>
      </c>
    </row>
    <row r="540710" spans="1:1" x14ac:dyDescent="0.2">
      <c r="A540710" s="97" t="s">
        <v>132</v>
      </c>
    </row>
    <row r="540711" spans="1:1" x14ac:dyDescent="0.2">
      <c r="A540711" s="97" t="s">
        <v>133</v>
      </c>
    </row>
    <row r="540712" spans="1:1" x14ac:dyDescent="0.2">
      <c r="A540712" s="97" t="s">
        <v>134</v>
      </c>
    </row>
    <row r="540713" spans="1:1" x14ac:dyDescent="0.2">
      <c r="A540713" s="97" t="s">
        <v>135</v>
      </c>
    </row>
    <row r="540714" spans="1:1" x14ac:dyDescent="0.2">
      <c r="A540714" s="97" t="s">
        <v>136</v>
      </c>
    </row>
    <row r="540715" spans="1:1" x14ac:dyDescent="0.2">
      <c r="A540715" s="97" t="s">
        <v>137</v>
      </c>
    </row>
    <row r="540716" spans="1:1" x14ac:dyDescent="0.2">
      <c r="A540716" s="97" t="s">
        <v>138</v>
      </c>
    </row>
    <row r="540717" spans="1:1" x14ac:dyDescent="0.2">
      <c r="A540717" s="97" t="s">
        <v>139</v>
      </c>
    </row>
    <row r="540718" spans="1:1" x14ac:dyDescent="0.2">
      <c r="A540718" s="97" t="s">
        <v>140</v>
      </c>
    </row>
    <row r="540719" spans="1:1" x14ac:dyDescent="0.2">
      <c r="A540719" s="97" t="s">
        <v>141</v>
      </c>
    </row>
    <row r="540720" spans="1:1" x14ac:dyDescent="0.2">
      <c r="A540720" s="97" t="s">
        <v>142</v>
      </c>
    </row>
    <row r="540721" spans="1:1" x14ac:dyDescent="0.2">
      <c r="A540721" s="97" t="s">
        <v>143</v>
      </c>
    </row>
    <row r="540722" spans="1:1" x14ac:dyDescent="0.2">
      <c r="A540722" s="97" t="s">
        <v>144</v>
      </c>
    </row>
    <row r="540723" spans="1:1" x14ac:dyDescent="0.2">
      <c r="A540723" s="97" t="s">
        <v>145</v>
      </c>
    </row>
    <row r="540724" spans="1:1" x14ac:dyDescent="0.2">
      <c r="A540724" s="97" t="s">
        <v>146</v>
      </c>
    </row>
    <row r="540725" spans="1:1" x14ac:dyDescent="0.2">
      <c r="A540725" s="97" t="s">
        <v>147</v>
      </c>
    </row>
    <row r="540726" spans="1:1" x14ac:dyDescent="0.2">
      <c r="A540726" s="97" t="s">
        <v>148</v>
      </c>
    </row>
    <row r="540727" spans="1:1" x14ac:dyDescent="0.2">
      <c r="A540727" s="97" t="s">
        <v>149</v>
      </c>
    </row>
    <row r="540728" spans="1:1" x14ac:dyDescent="0.2">
      <c r="A540728" s="97" t="s">
        <v>150</v>
      </c>
    </row>
    <row r="540729" spans="1:1" x14ac:dyDescent="0.2">
      <c r="A540729" s="97" t="s">
        <v>151</v>
      </c>
    </row>
    <row r="540730" spans="1:1" x14ac:dyDescent="0.2">
      <c r="A540730" s="97" t="s">
        <v>152</v>
      </c>
    </row>
    <row r="540731" spans="1:1" x14ac:dyDescent="0.2">
      <c r="A540731" s="97" t="s">
        <v>153</v>
      </c>
    </row>
    <row r="540732" spans="1:1" x14ac:dyDescent="0.2">
      <c r="A540732" s="97" t="s">
        <v>154</v>
      </c>
    </row>
    <row r="540733" spans="1:1" x14ac:dyDescent="0.2">
      <c r="A540733" s="97" t="s">
        <v>155</v>
      </c>
    </row>
    <row r="540734" spans="1:1" x14ac:dyDescent="0.2">
      <c r="A540734" s="97" t="s">
        <v>156</v>
      </c>
    </row>
    <row r="540735" spans="1:1" x14ac:dyDescent="0.2">
      <c r="A540735" s="97" t="s">
        <v>157</v>
      </c>
    </row>
    <row r="540736" spans="1:1" x14ac:dyDescent="0.2">
      <c r="A540736" s="97" t="s">
        <v>158</v>
      </c>
    </row>
    <row r="540737" spans="1:1" x14ac:dyDescent="0.2">
      <c r="A540737" s="97" t="s">
        <v>159</v>
      </c>
    </row>
    <row r="540738" spans="1:1" x14ac:dyDescent="0.2">
      <c r="A540738" s="97" t="s">
        <v>160</v>
      </c>
    </row>
    <row r="540739" spans="1:1" x14ac:dyDescent="0.2">
      <c r="A540739" s="97" t="s">
        <v>161</v>
      </c>
    </row>
    <row r="540740" spans="1:1" x14ac:dyDescent="0.2">
      <c r="A540740" s="97" t="s">
        <v>162</v>
      </c>
    </row>
    <row r="540741" spans="1:1" x14ac:dyDescent="0.2">
      <c r="A540741" s="97" t="s">
        <v>163</v>
      </c>
    </row>
    <row r="540742" spans="1:1" x14ac:dyDescent="0.2">
      <c r="A540742" s="97" t="s">
        <v>164</v>
      </c>
    </row>
    <row r="540743" spans="1:1" x14ac:dyDescent="0.2">
      <c r="A540743" s="97" t="s">
        <v>165</v>
      </c>
    </row>
    <row r="540744" spans="1:1" x14ac:dyDescent="0.2">
      <c r="A540744" s="97" t="s">
        <v>166</v>
      </c>
    </row>
    <row r="540745" spans="1:1" x14ac:dyDescent="0.2">
      <c r="A540745" s="97" t="s">
        <v>167</v>
      </c>
    </row>
    <row r="540746" spans="1:1" x14ac:dyDescent="0.2">
      <c r="A540746" s="97" t="s">
        <v>168</v>
      </c>
    </row>
    <row r="540747" spans="1:1" x14ac:dyDescent="0.2">
      <c r="A540747" s="97" t="s">
        <v>169</v>
      </c>
    </row>
    <row r="540748" spans="1:1" x14ac:dyDescent="0.2">
      <c r="A540748" s="97" t="s">
        <v>170</v>
      </c>
    </row>
    <row r="540749" spans="1:1" x14ac:dyDescent="0.2">
      <c r="A540749" s="97" t="s">
        <v>171</v>
      </c>
    </row>
    <row r="540750" spans="1:1" x14ac:dyDescent="0.2">
      <c r="A540750" s="97" t="s">
        <v>172</v>
      </c>
    </row>
    <row r="540751" spans="1:1" x14ac:dyDescent="0.2">
      <c r="A540751" s="97" t="s">
        <v>173</v>
      </c>
    </row>
    <row r="540752" spans="1:1" x14ac:dyDescent="0.2">
      <c r="A540752" s="97" t="s">
        <v>174</v>
      </c>
    </row>
    <row r="540753" spans="1:1" x14ac:dyDescent="0.2">
      <c r="A540753" s="97" t="s">
        <v>175</v>
      </c>
    </row>
    <row r="540754" spans="1:1" x14ac:dyDescent="0.2">
      <c r="A540754" s="97" t="s">
        <v>176</v>
      </c>
    </row>
    <row r="540755" spans="1:1" x14ac:dyDescent="0.2">
      <c r="A540755" s="97" t="s">
        <v>177</v>
      </c>
    </row>
    <row r="540756" spans="1:1" x14ac:dyDescent="0.2">
      <c r="A540756" s="97" t="s">
        <v>178</v>
      </c>
    </row>
    <row r="540757" spans="1:1" x14ac:dyDescent="0.2">
      <c r="A540757" s="97" t="s">
        <v>179</v>
      </c>
    </row>
    <row r="540758" spans="1:1" x14ac:dyDescent="0.2">
      <c r="A540758" s="97" t="s">
        <v>180</v>
      </c>
    </row>
    <row r="540759" spans="1:1" x14ac:dyDescent="0.2">
      <c r="A540759" s="97" t="s">
        <v>181</v>
      </c>
    </row>
    <row r="540760" spans="1:1" x14ac:dyDescent="0.2">
      <c r="A540760" s="97" t="s">
        <v>182</v>
      </c>
    </row>
    <row r="540761" spans="1:1" x14ac:dyDescent="0.2">
      <c r="A540761" s="97" t="s">
        <v>183</v>
      </c>
    </row>
    <row r="557057" spans="1:1" x14ac:dyDescent="0.2">
      <c r="A557057" s="97" t="s">
        <v>95</v>
      </c>
    </row>
    <row r="557058" spans="1:1" x14ac:dyDescent="0.2">
      <c r="A557058" s="97" t="s">
        <v>96</v>
      </c>
    </row>
    <row r="557059" spans="1:1" x14ac:dyDescent="0.2">
      <c r="A557059" s="97" t="s">
        <v>97</v>
      </c>
    </row>
    <row r="557060" spans="1:1" x14ac:dyDescent="0.2">
      <c r="A557060" s="97" t="s">
        <v>98</v>
      </c>
    </row>
    <row r="557061" spans="1:1" x14ac:dyDescent="0.2">
      <c r="A557061" s="97" t="s">
        <v>99</v>
      </c>
    </row>
    <row r="557062" spans="1:1" x14ac:dyDescent="0.2">
      <c r="A557062" s="97" t="s">
        <v>100</v>
      </c>
    </row>
    <row r="557063" spans="1:1" x14ac:dyDescent="0.2">
      <c r="A557063" s="97" t="s">
        <v>101</v>
      </c>
    </row>
    <row r="557064" spans="1:1" x14ac:dyDescent="0.2">
      <c r="A557064" s="97" t="s">
        <v>102</v>
      </c>
    </row>
    <row r="557065" spans="1:1" x14ac:dyDescent="0.2">
      <c r="A557065" s="97" t="s">
        <v>103</v>
      </c>
    </row>
    <row r="557066" spans="1:1" x14ac:dyDescent="0.2">
      <c r="A557066" s="97" t="s">
        <v>104</v>
      </c>
    </row>
    <row r="557067" spans="1:1" x14ac:dyDescent="0.2">
      <c r="A557067" s="97" t="s">
        <v>105</v>
      </c>
    </row>
    <row r="557068" spans="1:1" x14ac:dyDescent="0.2">
      <c r="A557068" s="97" t="s">
        <v>106</v>
      </c>
    </row>
    <row r="557069" spans="1:1" x14ac:dyDescent="0.2">
      <c r="A557069" s="97" t="s">
        <v>107</v>
      </c>
    </row>
    <row r="557070" spans="1:1" x14ac:dyDescent="0.2">
      <c r="A557070" s="97" t="s">
        <v>108</v>
      </c>
    </row>
    <row r="557071" spans="1:1" x14ac:dyDescent="0.2">
      <c r="A557071" s="97" t="s">
        <v>109</v>
      </c>
    </row>
    <row r="557072" spans="1:1" x14ac:dyDescent="0.2">
      <c r="A557072" s="97" t="s">
        <v>110</v>
      </c>
    </row>
    <row r="557073" spans="1:1" x14ac:dyDescent="0.2">
      <c r="A557073" s="97" t="s">
        <v>111</v>
      </c>
    </row>
    <row r="557074" spans="1:1" x14ac:dyDescent="0.2">
      <c r="A557074" s="97" t="s">
        <v>112</v>
      </c>
    </row>
    <row r="557075" spans="1:1" x14ac:dyDescent="0.2">
      <c r="A557075" s="97" t="s">
        <v>113</v>
      </c>
    </row>
    <row r="557076" spans="1:1" x14ac:dyDescent="0.2">
      <c r="A557076" s="97" t="s">
        <v>114</v>
      </c>
    </row>
    <row r="557077" spans="1:1" x14ac:dyDescent="0.2">
      <c r="A557077" s="97" t="s">
        <v>115</v>
      </c>
    </row>
    <row r="557078" spans="1:1" x14ac:dyDescent="0.2">
      <c r="A557078" s="97" t="s">
        <v>116</v>
      </c>
    </row>
    <row r="557079" spans="1:1" x14ac:dyDescent="0.2">
      <c r="A557079" s="97" t="s">
        <v>117</v>
      </c>
    </row>
    <row r="557080" spans="1:1" x14ac:dyDescent="0.2">
      <c r="A557080" s="97" t="s">
        <v>118</v>
      </c>
    </row>
    <row r="557081" spans="1:1" x14ac:dyDescent="0.2">
      <c r="A557081" s="97" t="s">
        <v>119</v>
      </c>
    </row>
    <row r="557082" spans="1:1" x14ac:dyDescent="0.2">
      <c r="A557082" s="97" t="s">
        <v>120</v>
      </c>
    </row>
    <row r="557083" spans="1:1" x14ac:dyDescent="0.2">
      <c r="A557083" s="97" t="s">
        <v>121</v>
      </c>
    </row>
    <row r="557084" spans="1:1" x14ac:dyDescent="0.2">
      <c r="A557084" s="97" t="s">
        <v>122</v>
      </c>
    </row>
    <row r="557085" spans="1:1" x14ac:dyDescent="0.2">
      <c r="A557085" s="97" t="s">
        <v>123</v>
      </c>
    </row>
    <row r="557086" spans="1:1" x14ac:dyDescent="0.2">
      <c r="A557086" s="97" t="s">
        <v>124</v>
      </c>
    </row>
    <row r="557087" spans="1:1" x14ac:dyDescent="0.2">
      <c r="A557087" s="97" t="s">
        <v>125</v>
      </c>
    </row>
    <row r="557088" spans="1:1" x14ac:dyDescent="0.2">
      <c r="A557088" s="97" t="s">
        <v>126</v>
      </c>
    </row>
    <row r="557089" spans="1:1" x14ac:dyDescent="0.2">
      <c r="A557089" s="97" t="s">
        <v>127</v>
      </c>
    </row>
    <row r="557090" spans="1:1" x14ac:dyDescent="0.2">
      <c r="A557090" s="97" t="s">
        <v>128</v>
      </c>
    </row>
    <row r="557091" spans="1:1" x14ac:dyDescent="0.2">
      <c r="A557091" s="97" t="s">
        <v>129</v>
      </c>
    </row>
    <row r="557092" spans="1:1" x14ac:dyDescent="0.2">
      <c r="A557092" s="97" t="s">
        <v>130</v>
      </c>
    </row>
    <row r="557093" spans="1:1" x14ac:dyDescent="0.2">
      <c r="A557093" s="97" t="s">
        <v>131</v>
      </c>
    </row>
    <row r="557094" spans="1:1" x14ac:dyDescent="0.2">
      <c r="A557094" s="97" t="s">
        <v>132</v>
      </c>
    </row>
    <row r="557095" spans="1:1" x14ac:dyDescent="0.2">
      <c r="A557095" s="97" t="s">
        <v>133</v>
      </c>
    </row>
    <row r="557096" spans="1:1" x14ac:dyDescent="0.2">
      <c r="A557096" s="97" t="s">
        <v>134</v>
      </c>
    </row>
    <row r="557097" spans="1:1" x14ac:dyDescent="0.2">
      <c r="A557097" s="97" t="s">
        <v>135</v>
      </c>
    </row>
    <row r="557098" spans="1:1" x14ac:dyDescent="0.2">
      <c r="A557098" s="97" t="s">
        <v>136</v>
      </c>
    </row>
    <row r="557099" spans="1:1" x14ac:dyDescent="0.2">
      <c r="A557099" s="97" t="s">
        <v>137</v>
      </c>
    </row>
    <row r="557100" spans="1:1" x14ac:dyDescent="0.2">
      <c r="A557100" s="97" t="s">
        <v>138</v>
      </c>
    </row>
    <row r="557101" spans="1:1" x14ac:dyDescent="0.2">
      <c r="A557101" s="97" t="s">
        <v>139</v>
      </c>
    </row>
    <row r="557102" spans="1:1" x14ac:dyDescent="0.2">
      <c r="A557102" s="97" t="s">
        <v>140</v>
      </c>
    </row>
    <row r="557103" spans="1:1" x14ac:dyDescent="0.2">
      <c r="A557103" s="97" t="s">
        <v>141</v>
      </c>
    </row>
    <row r="557104" spans="1:1" x14ac:dyDescent="0.2">
      <c r="A557104" s="97" t="s">
        <v>142</v>
      </c>
    </row>
    <row r="557105" spans="1:1" x14ac:dyDescent="0.2">
      <c r="A557105" s="97" t="s">
        <v>143</v>
      </c>
    </row>
    <row r="557106" spans="1:1" x14ac:dyDescent="0.2">
      <c r="A557106" s="97" t="s">
        <v>144</v>
      </c>
    </row>
    <row r="557107" spans="1:1" x14ac:dyDescent="0.2">
      <c r="A557107" s="97" t="s">
        <v>145</v>
      </c>
    </row>
    <row r="557108" spans="1:1" x14ac:dyDescent="0.2">
      <c r="A557108" s="97" t="s">
        <v>146</v>
      </c>
    </row>
    <row r="557109" spans="1:1" x14ac:dyDescent="0.2">
      <c r="A557109" s="97" t="s">
        <v>147</v>
      </c>
    </row>
    <row r="557110" spans="1:1" x14ac:dyDescent="0.2">
      <c r="A557110" s="97" t="s">
        <v>148</v>
      </c>
    </row>
    <row r="557111" spans="1:1" x14ac:dyDescent="0.2">
      <c r="A557111" s="97" t="s">
        <v>149</v>
      </c>
    </row>
    <row r="557112" spans="1:1" x14ac:dyDescent="0.2">
      <c r="A557112" s="97" t="s">
        <v>150</v>
      </c>
    </row>
    <row r="557113" spans="1:1" x14ac:dyDescent="0.2">
      <c r="A557113" s="97" t="s">
        <v>151</v>
      </c>
    </row>
    <row r="557114" spans="1:1" x14ac:dyDescent="0.2">
      <c r="A557114" s="97" t="s">
        <v>152</v>
      </c>
    </row>
    <row r="557115" spans="1:1" x14ac:dyDescent="0.2">
      <c r="A557115" s="97" t="s">
        <v>153</v>
      </c>
    </row>
    <row r="557116" spans="1:1" x14ac:dyDescent="0.2">
      <c r="A557116" s="97" t="s">
        <v>154</v>
      </c>
    </row>
    <row r="557117" spans="1:1" x14ac:dyDescent="0.2">
      <c r="A557117" s="97" t="s">
        <v>155</v>
      </c>
    </row>
    <row r="557118" spans="1:1" x14ac:dyDescent="0.2">
      <c r="A557118" s="97" t="s">
        <v>156</v>
      </c>
    </row>
    <row r="557119" spans="1:1" x14ac:dyDescent="0.2">
      <c r="A557119" s="97" t="s">
        <v>157</v>
      </c>
    </row>
    <row r="557120" spans="1:1" x14ac:dyDescent="0.2">
      <c r="A557120" s="97" t="s">
        <v>158</v>
      </c>
    </row>
    <row r="557121" spans="1:1" x14ac:dyDescent="0.2">
      <c r="A557121" s="97" t="s">
        <v>159</v>
      </c>
    </row>
    <row r="557122" spans="1:1" x14ac:dyDescent="0.2">
      <c r="A557122" s="97" t="s">
        <v>160</v>
      </c>
    </row>
    <row r="557123" spans="1:1" x14ac:dyDescent="0.2">
      <c r="A557123" s="97" t="s">
        <v>161</v>
      </c>
    </row>
    <row r="557124" spans="1:1" x14ac:dyDescent="0.2">
      <c r="A557124" s="97" t="s">
        <v>162</v>
      </c>
    </row>
    <row r="557125" spans="1:1" x14ac:dyDescent="0.2">
      <c r="A557125" s="97" t="s">
        <v>163</v>
      </c>
    </row>
    <row r="557126" spans="1:1" x14ac:dyDescent="0.2">
      <c r="A557126" s="97" t="s">
        <v>164</v>
      </c>
    </row>
    <row r="557127" spans="1:1" x14ac:dyDescent="0.2">
      <c r="A557127" s="97" t="s">
        <v>165</v>
      </c>
    </row>
    <row r="557128" spans="1:1" x14ac:dyDescent="0.2">
      <c r="A557128" s="97" t="s">
        <v>166</v>
      </c>
    </row>
    <row r="557129" spans="1:1" x14ac:dyDescent="0.2">
      <c r="A557129" s="97" t="s">
        <v>167</v>
      </c>
    </row>
    <row r="557130" spans="1:1" x14ac:dyDescent="0.2">
      <c r="A557130" s="97" t="s">
        <v>168</v>
      </c>
    </row>
    <row r="557131" spans="1:1" x14ac:dyDescent="0.2">
      <c r="A557131" s="97" t="s">
        <v>169</v>
      </c>
    </row>
    <row r="557132" spans="1:1" x14ac:dyDescent="0.2">
      <c r="A557132" s="97" t="s">
        <v>170</v>
      </c>
    </row>
    <row r="557133" spans="1:1" x14ac:dyDescent="0.2">
      <c r="A557133" s="97" t="s">
        <v>171</v>
      </c>
    </row>
    <row r="557134" spans="1:1" x14ac:dyDescent="0.2">
      <c r="A557134" s="97" t="s">
        <v>172</v>
      </c>
    </row>
    <row r="557135" spans="1:1" x14ac:dyDescent="0.2">
      <c r="A557135" s="97" t="s">
        <v>173</v>
      </c>
    </row>
    <row r="557136" spans="1:1" x14ac:dyDescent="0.2">
      <c r="A557136" s="97" t="s">
        <v>174</v>
      </c>
    </row>
    <row r="557137" spans="1:1" x14ac:dyDescent="0.2">
      <c r="A557137" s="97" t="s">
        <v>175</v>
      </c>
    </row>
    <row r="557138" spans="1:1" x14ac:dyDescent="0.2">
      <c r="A557138" s="97" t="s">
        <v>176</v>
      </c>
    </row>
    <row r="557139" spans="1:1" x14ac:dyDescent="0.2">
      <c r="A557139" s="97" t="s">
        <v>177</v>
      </c>
    </row>
    <row r="557140" spans="1:1" x14ac:dyDescent="0.2">
      <c r="A557140" s="97" t="s">
        <v>178</v>
      </c>
    </row>
    <row r="557141" spans="1:1" x14ac:dyDescent="0.2">
      <c r="A557141" s="97" t="s">
        <v>179</v>
      </c>
    </row>
    <row r="557142" spans="1:1" x14ac:dyDescent="0.2">
      <c r="A557142" s="97" t="s">
        <v>180</v>
      </c>
    </row>
    <row r="557143" spans="1:1" x14ac:dyDescent="0.2">
      <c r="A557143" s="97" t="s">
        <v>181</v>
      </c>
    </row>
    <row r="557144" spans="1:1" x14ac:dyDescent="0.2">
      <c r="A557144" s="97" t="s">
        <v>182</v>
      </c>
    </row>
    <row r="557145" spans="1:1" x14ac:dyDescent="0.2">
      <c r="A557145" s="97" t="s">
        <v>183</v>
      </c>
    </row>
    <row r="573441" spans="1:1" x14ac:dyDescent="0.2">
      <c r="A573441" s="97" t="s">
        <v>95</v>
      </c>
    </row>
    <row r="573442" spans="1:1" x14ac:dyDescent="0.2">
      <c r="A573442" s="97" t="s">
        <v>96</v>
      </c>
    </row>
    <row r="573443" spans="1:1" x14ac:dyDescent="0.2">
      <c r="A573443" s="97" t="s">
        <v>97</v>
      </c>
    </row>
    <row r="573444" spans="1:1" x14ac:dyDescent="0.2">
      <c r="A573444" s="97" t="s">
        <v>98</v>
      </c>
    </row>
    <row r="573445" spans="1:1" x14ac:dyDescent="0.2">
      <c r="A573445" s="97" t="s">
        <v>99</v>
      </c>
    </row>
    <row r="573446" spans="1:1" x14ac:dyDescent="0.2">
      <c r="A573446" s="97" t="s">
        <v>100</v>
      </c>
    </row>
    <row r="573447" spans="1:1" x14ac:dyDescent="0.2">
      <c r="A573447" s="97" t="s">
        <v>101</v>
      </c>
    </row>
    <row r="573448" spans="1:1" x14ac:dyDescent="0.2">
      <c r="A573448" s="97" t="s">
        <v>102</v>
      </c>
    </row>
    <row r="573449" spans="1:1" x14ac:dyDescent="0.2">
      <c r="A573449" s="97" t="s">
        <v>103</v>
      </c>
    </row>
    <row r="573450" spans="1:1" x14ac:dyDescent="0.2">
      <c r="A573450" s="97" t="s">
        <v>104</v>
      </c>
    </row>
    <row r="573451" spans="1:1" x14ac:dyDescent="0.2">
      <c r="A573451" s="97" t="s">
        <v>105</v>
      </c>
    </row>
    <row r="573452" spans="1:1" x14ac:dyDescent="0.2">
      <c r="A573452" s="97" t="s">
        <v>106</v>
      </c>
    </row>
    <row r="573453" spans="1:1" x14ac:dyDescent="0.2">
      <c r="A573453" s="97" t="s">
        <v>107</v>
      </c>
    </row>
    <row r="573454" spans="1:1" x14ac:dyDescent="0.2">
      <c r="A573454" s="97" t="s">
        <v>108</v>
      </c>
    </row>
    <row r="573455" spans="1:1" x14ac:dyDescent="0.2">
      <c r="A573455" s="97" t="s">
        <v>109</v>
      </c>
    </row>
    <row r="573456" spans="1:1" x14ac:dyDescent="0.2">
      <c r="A573456" s="97" t="s">
        <v>110</v>
      </c>
    </row>
    <row r="573457" spans="1:1" x14ac:dyDescent="0.2">
      <c r="A573457" s="97" t="s">
        <v>111</v>
      </c>
    </row>
    <row r="573458" spans="1:1" x14ac:dyDescent="0.2">
      <c r="A573458" s="97" t="s">
        <v>112</v>
      </c>
    </row>
    <row r="573459" spans="1:1" x14ac:dyDescent="0.2">
      <c r="A573459" s="97" t="s">
        <v>113</v>
      </c>
    </row>
    <row r="573460" spans="1:1" x14ac:dyDescent="0.2">
      <c r="A573460" s="97" t="s">
        <v>114</v>
      </c>
    </row>
    <row r="573461" spans="1:1" x14ac:dyDescent="0.2">
      <c r="A573461" s="97" t="s">
        <v>115</v>
      </c>
    </row>
    <row r="573462" spans="1:1" x14ac:dyDescent="0.2">
      <c r="A573462" s="97" t="s">
        <v>116</v>
      </c>
    </row>
    <row r="573463" spans="1:1" x14ac:dyDescent="0.2">
      <c r="A573463" s="97" t="s">
        <v>117</v>
      </c>
    </row>
    <row r="573464" spans="1:1" x14ac:dyDescent="0.2">
      <c r="A573464" s="97" t="s">
        <v>118</v>
      </c>
    </row>
    <row r="573465" spans="1:1" x14ac:dyDescent="0.2">
      <c r="A573465" s="97" t="s">
        <v>119</v>
      </c>
    </row>
    <row r="573466" spans="1:1" x14ac:dyDescent="0.2">
      <c r="A573466" s="97" t="s">
        <v>120</v>
      </c>
    </row>
    <row r="573467" spans="1:1" x14ac:dyDescent="0.2">
      <c r="A573467" s="97" t="s">
        <v>121</v>
      </c>
    </row>
    <row r="573468" spans="1:1" x14ac:dyDescent="0.2">
      <c r="A573468" s="97" t="s">
        <v>122</v>
      </c>
    </row>
    <row r="573469" spans="1:1" x14ac:dyDescent="0.2">
      <c r="A573469" s="97" t="s">
        <v>123</v>
      </c>
    </row>
    <row r="573470" spans="1:1" x14ac:dyDescent="0.2">
      <c r="A573470" s="97" t="s">
        <v>124</v>
      </c>
    </row>
    <row r="573471" spans="1:1" x14ac:dyDescent="0.2">
      <c r="A573471" s="97" t="s">
        <v>125</v>
      </c>
    </row>
    <row r="573472" spans="1:1" x14ac:dyDescent="0.2">
      <c r="A573472" s="97" t="s">
        <v>126</v>
      </c>
    </row>
    <row r="573473" spans="1:1" x14ac:dyDescent="0.2">
      <c r="A573473" s="97" t="s">
        <v>127</v>
      </c>
    </row>
    <row r="573474" spans="1:1" x14ac:dyDescent="0.2">
      <c r="A573474" s="97" t="s">
        <v>128</v>
      </c>
    </row>
    <row r="573475" spans="1:1" x14ac:dyDescent="0.2">
      <c r="A573475" s="97" t="s">
        <v>129</v>
      </c>
    </row>
    <row r="573476" spans="1:1" x14ac:dyDescent="0.2">
      <c r="A573476" s="97" t="s">
        <v>130</v>
      </c>
    </row>
    <row r="573477" spans="1:1" x14ac:dyDescent="0.2">
      <c r="A573477" s="97" t="s">
        <v>131</v>
      </c>
    </row>
    <row r="573478" spans="1:1" x14ac:dyDescent="0.2">
      <c r="A573478" s="97" t="s">
        <v>132</v>
      </c>
    </row>
    <row r="573479" spans="1:1" x14ac:dyDescent="0.2">
      <c r="A573479" s="97" t="s">
        <v>133</v>
      </c>
    </row>
    <row r="573480" spans="1:1" x14ac:dyDescent="0.2">
      <c r="A573480" s="97" t="s">
        <v>134</v>
      </c>
    </row>
    <row r="573481" spans="1:1" x14ac:dyDescent="0.2">
      <c r="A573481" s="97" t="s">
        <v>135</v>
      </c>
    </row>
    <row r="573482" spans="1:1" x14ac:dyDescent="0.2">
      <c r="A573482" s="97" t="s">
        <v>136</v>
      </c>
    </row>
    <row r="573483" spans="1:1" x14ac:dyDescent="0.2">
      <c r="A573483" s="97" t="s">
        <v>137</v>
      </c>
    </row>
    <row r="573484" spans="1:1" x14ac:dyDescent="0.2">
      <c r="A573484" s="97" t="s">
        <v>138</v>
      </c>
    </row>
    <row r="573485" spans="1:1" x14ac:dyDescent="0.2">
      <c r="A573485" s="97" t="s">
        <v>139</v>
      </c>
    </row>
    <row r="573486" spans="1:1" x14ac:dyDescent="0.2">
      <c r="A573486" s="97" t="s">
        <v>140</v>
      </c>
    </row>
    <row r="573487" spans="1:1" x14ac:dyDescent="0.2">
      <c r="A573487" s="97" t="s">
        <v>141</v>
      </c>
    </row>
    <row r="573488" spans="1:1" x14ac:dyDescent="0.2">
      <c r="A573488" s="97" t="s">
        <v>142</v>
      </c>
    </row>
    <row r="573489" spans="1:1" x14ac:dyDescent="0.2">
      <c r="A573489" s="97" t="s">
        <v>143</v>
      </c>
    </row>
    <row r="573490" spans="1:1" x14ac:dyDescent="0.2">
      <c r="A573490" s="97" t="s">
        <v>144</v>
      </c>
    </row>
    <row r="573491" spans="1:1" x14ac:dyDescent="0.2">
      <c r="A573491" s="97" t="s">
        <v>145</v>
      </c>
    </row>
    <row r="573492" spans="1:1" x14ac:dyDescent="0.2">
      <c r="A573492" s="97" t="s">
        <v>146</v>
      </c>
    </row>
    <row r="573493" spans="1:1" x14ac:dyDescent="0.2">
      <c r="A573493" s="97" t="s">
        <v>147</v>
      </c>
    </row>
    <row r="573494" spans="1:1" x14ac:dyDescent="0.2">
      <c r="A573494" s="97" t="s">
        <v>148</v>
      </c>
    </row>
    <row r="573495" spans="1:1" x14ac:dyDescent="0.2">
      <c r="A573495" s="97" t="s">
        <v>149</v>
      </c>
    </row>
    <row r="573496" spans="1:1" x14ac:dyDescent="0.2">
      <c r="A573496" s="97" t="s">
        <v>150</v>
      </c>
    </row>
    <row r="573497" spans="1:1" x14ac:dyDescent="0.2">
      <c r="A573497" s="97" t="s">
        <v>151</v>
      </c>
    </row>
    <row r="573498" spans="1:1" x14ac:dyDescent="0.2">
      <c r="A573498" s="97" t="s">
        <v>152</v>
      </c>
    </row>
    <row r="573499" spans="1:1" x14ac:dyDescent="0.2">
      <c r="A573499" s="97" t="s">
        <v>153</v>
      </c>
    </row>
    <row r="573500" spans="1:1" x14ac:dyDescent="0.2">
      <c r="A573500" s="97" t="s">
        <v>154</v>
      </c>
    </row>
    <row r="573501" spans="1:1" x14ac:dyDescent="0.2">
      <c r="A573501" s="97" t="s">
        <v>155</v>
      </c>
    </row>
    <row r="573502" spans="1:1" x14ac:dyDescent="0.2">
      <c r="A573502" s="97" t="s">
        <v>156</v>
      </c>
    </row>
    <row r="573503" spans="1:1" x14ac:dyDescent="0.2">
      <c r="A573503" s="97" t="s">
        <v>157</v>
      </c>
    </row>
    <row r="573504" spans="1:1" x14ac:dyDescent="0.2">
      <c r="A573504" s="97" t="s">
        <v>158</v>
      </c>
    </row>
    <row r="573505" spans="1:1" x14ac:dyDescent="0.2">
      <c r="A573505" s="97" t="s">
        <v>159</v>
      </c>
    </row>
    <row r="573506" spans="1:1" x14ac:dyDescent="0.2">
      <c r="A573506" s="97" t="s">
        <v>160</v>
      </c>
    </row>
    <row r="573507" spans="1:1" x14ac:dyDescent="0.2">
      <c r="A573507" s="97" t="s">
        <v>161</v>
      </c>
    </row>
    <row r="573508" spans="1:1" x14ac:dyDescent="0.2">
      <c r="A573508" s="97" t="s">
        <v>162</v>
      </c>
    </row>
    <row r="573509" spans="1:1" x14ac:dyDescent="0.2">
      <c r="A573509" s="97" t="s">
        <v>163</v>
      </c>
    </row>
    <row r="573510" spans="1:1" x14ac:dyDescent="0.2">
      <c r="A573510" s="97" t="s">
        <v>164</v>
      </c>
    </row>
    <row r="573511" spans="1:1" x14ac:dyDescent="0.2">
      <c r="A573511" s="97" t="s">
        <v>165</v>
      </c>
    </row>
    <row r="573512" spans="1:1" x14ac:dyDescent="0.2">
      <c r="A573512" s="97" t="s">
        <v>166</v>
      </c>
    </row>
    <row r="573513" spans="1:1" x14ac:dyDescent="0.2">
      <c r="A573513" s="97" t="s">
        <v>167</v>
      </c>
    </row>
    <row r="573514" spans="1:1" x14ac:dyDescent="0.2">
      <c r="A573514" s="97" t="s">
        <v>168</v>
      </c>
    </row>
    <row r="573515" spans="1:1" x14ac:dyDescent="0.2">
      <c r="A573515" s="97" t="s">
        <v>169</v>
      </c>
    </row>
    <row r="573516" spans="1:1" x14ac:dyDescent="0.2">
      <c r="A573516" s="97" t="s">
        <v>170</v>
      </c>
    </row>
    <row r="573517" spans="1:1" x14ac:dyDescent="0.2">
      <c r="A573517" s="97" t="s">
        <v>171</v>
      </c>
    </row>
    <row r="573518" spans="1:1" x14ac:dyDescent="0.2">
      <c r="A573518" s="97" t="s">
        <v>172</v>
      </c>
    </row>
    <row r="573519" spans="1:1" x14ac:dyDescent="0.2">
      <c r="A573519" s="97" t="s">
        <v>173</v>
      </c>
    </row>
    <row r="573520" spans="1:1" x14ac:dyDescent="0.2">
      <c r="A573520" s="97" t="s">
        <v>174</v>
      </c>
    </row>
    <row r="573521" spans="1:1" x14ac:dyDescent="0.2">
      <c r="A573521" s="97" t="s">
        <v>175</v>
      </c>
    </row>
    <row r="573522" spans="1:1" x14ac:dyDescent="0.2">
      <c r="A573522" s="97" t="s">
        <v>176</v>
      </c>
    </row>
    <row r="573523" spans="1:1" x14ac:dyDescent="0.2">
      <c r="A573523" s="97" t="s">
        <v>177</v>
      </c>
    </row>
    <row r="573524" spans="1:1" x14ac:dyDescent="0.2">
      <c r="A573524" s="97" t="s">
        <v>178</v>
      </c>
    </row>
    <row r="573525" spans="1:1" x14ac:dyDescent="0.2">
      <c r="A573525" s="97" t="s">
        <v>179</v>
      </c>
    </row>
    <row r="573526" spans="1:1" x14ac:dyDescent="0.2">
      <c r="A573526" s="97" t="s">
        <v>180</v>
      </c>
    </row>
    <row r="573527" spans="1:1" x14ac:dyDescent="0.2">
      <c r="A573527" s="97" t="s">
        <v>181</v>
      </c>
    </row>
    <row r="573528" spans="1:1" x14ac:dyDescent="0.2">
      <c r="A573528" s="97" t="s">
        <v>182</v>
      </c>
    </row>
    <row r="573529" spans="1:1" x14ac:dyDescent="0.2">
      <c r="A573529" s="97" t="s">
        <v>183</v>
      </c>
    </row>
    <row r="589825" spans="1:1" x14ac:dyDescent="0.2">
      <c r="A589825" s="97" t="s">
        <v>95</v>
      </c>
    </row>
    <row r="589826" spans="1:1" x14ac:dyDescent="0.2">
      <c r="A589826" s="97" t="s">
        <v>96</v>
      </c>
    </row>
    <row r="589827" spans="1:1" x14ac:dyDescent="0.2">
      <c r="A589827" s="97" t="s">
        <v>97</v>
      </c>
    </row>
    <row r="589828" spans="1:1" x14ac:dyDescent="0.2">
      <c r="A589828" s="97" t="s">
        <v>98</v>
      </c>
    </row>
    <row r="589829" spans="1:1" x14ac:dyDescent="0.2">
      <c r="A589829" s="97" t="s">
        <v>99</v>
      </c>
    </row>
    <row r="589830" spans="1:1" x14ac:dyDescent="0.2">
      <c r="A589830" s="97" t="s">
        <v>100</v>
      </c>
    </row>
    <row r="589831" spans="1:1" x14ac:dyDescent="0.2">
      <c r="A589831" s="97" t="s">
        <v>101</v>
      </c>
    </row>
    <row r="589832" spans="1:1" x14ac:dyDescent="0.2">
      <c r="A589832" s="97" t="s">
        <v>102</v>
      </c>
    </row>
    <row r="589833" spans="1:1" x14ac:dyDescent="0.2">
      <c r="A589833" s="97" t="s">
        <v>103</v>
      </c>
    </row>
    <row r="589834" spans="1:1" x14ac:dyDescent="0.2">
      <c r="A589834" s="97" t="s">
        <v>104</v>
      </c>
    </row>
    <row r="589835" spans="1:1" x14ac:dyDescent="0.2">
      <c r="A589835" s="97" t="s">
        <v>105</v>
      </c>
    </row>
    <row r="589836" spans="1:1" x14ac:dyDescent="0.2">
      <c r="A589836" s="97" t="s">
        <v>106</v>
      </c>
    </row>
    <row r="589837" spans="1:1" x14ac:dyDescent="0.2">
      <c r="A589837" s="97" t="s">
        <v>107</v>
      </c>
    </row>
    <row r="589838" spans="1:1" x14ac:dyDescent="0.2">
      <c r="A589838" s="97" t="s">
        <v>108</v>
      </c>
    </row>
    <row r="589839" spans="1:1" x14ac:dyDescent="0.2">
      <c r="A589839" s="97" t="s">
        <v>109</v>
      </c>
    </row>
    <row r="589840" spans="1:1" x14ac:dyDescent="0.2">
      <c r="A589840" s="97" t="s">
        <v>110</v>
      </c>
    </row>
    <row r="589841" spans="1:1" x14ac:dyDescent="0.2">
      <c r="A589841" s="97" t="s">
        <v>111</v>
      </c>
    </row>
    <row r="589842" spans="1:1" x14ac:dyDescent="0.2">
      <c r="A589842" s="97" t="s">
        <v>112</v>
      </c>
    </row>
    <row r="589843" spans="1:1" x14ac:dyDescent="0.2">
      <c r="A589843" s="97" t="s">
        <v>113</v>
      </c>
    </row>
    <row r="589844" spans="1:1" x14ac:dyDescent="0.2">
      <c r="A589844" s="97" t="s">
        <v>114</v>
      </c>
    </row>
    <row r="589845" spans="1:1" x14ac:dyDescent="0.2">
      <c r="A589845" s="97" t="s">
        <v>115</v>
      </c>
    </row>
    <row r="589846" spans="1:1" x14ac:dyDescent="0.2">
      <c r="A589846" s="97" t="s">
        <v>116</v>
      </c>
    </row>
    <row r="589847" spans="1:1" x14ac:dyDescent="0.2">
      <c r="A589847" s="97" t="s">
        <v>117</v>
      </c>
    </row>
    <row r="589848" spans="1:1" x14ac:dyDescent="0.2">
      <c r="A589848" s="97" t="s">
        <v>118</v>
      </c>
    </row>
    <row r="589849" spans="1:1" x14ac:dyDescent="0.2">
      <c r="A589849" s="97" t="s">
        <v>119</v>
      </c>
    </row>
    <row r="589850" spans="1:1" x14ac:dyDescent="0.2">
      <c r="A589850" s="97" t="s">
        <v>120</v>
      </c>
    </row>
    <row r="589851" spans="1:1" x14ac:dyDescent="0.2">
      <c r="A589851" s="97" t="s">
        <v>121</v>
      </c>
    </row>
    <row r="589852" spans="1:1" x14ac:dyDescent="0.2">
      <c r="A589852" s="97" t="s">
        <v>122</v>
      </c>
    </row>
    <row r="589853" spans="1:1" x14ac:dyDescent="0.2">
      <c r="A589853" s="97" t="s">
        <v>123</v>
      </c>
    </row>
    <row r="589854" spans="1:1" x14ac:dyDescent="0.2">
      <c r="A589854" s="97" t="s">
        <v>124</v>
      </c>
    </row>
    <row r="589855" spans="1:1" x14ac:dyDescent="0.2">
      <c r="A589855" s="97" t="s">
        <v>125</v>
      </c>
    </row>
    <row r="589856" spans="1:1" x14ac:dyDescent="0.2">
      <c r="A589856" s="97" t="s">
        <v>126</v>
      </c>
    </row>
    <row r="589857" spans="1:1" x14ac:dyDescent="0.2">
      <c r="A589857" s="97" t="s">
        <v>127</v>
      </c>
    </row>
    <row r="589858" spans="1:1" x14ac:dyDescent="0.2">
      <c r="A589858" s="97" t="s">
        <v>128</v>
      </c>
    </row>
    <row r="589859" spans="1:1" x14ac:dyDescent="0.2">
      <c r="A589859" s="97" t="s">
        <v>129</v>
      </c>
    </row>
    <row r="589860" spans="1:1" x14ac:dyDescent="0.2">
      <c r="A589860" s="97" t="s">
        <v>130</v>
      </c>
    </row>
    <row r="589861" spans="1:1" x14ac:dyDescent="0.2">
      <c r="A589861" s="97" t="s">
        <v>131</v>
      </c>
    </row>
    <row r="589862" spans="1:1" x14ac:dyDescent="0.2">
      <c r="A589862" s="97" t="s">
        <v>132</v>
      </c>
    </row>
    <row r="589863" spans="1:1" x14ac:dyDescent="0.2">
      <c r="A589863" s="97" t="s">
        <v>133</v>
      </c>
    </row>
    <row r="589864" spans="1:1" x14ac:dyDescent="0.2">
      <c r="A589864" s="97" t="s">
        <v>134</v>
      </c>
    </row>
    <row r="589865" spans="1:1" x14ac:dyDescent="0.2">
      <c r="A589865" s="97" t="s">
        <v>135</v>
      </c>
    </row>
    <row r="589866" spans="1:1" x14ac:dyDescent="0.2">
      <c r="A589866" s="97" t="s">
        <v>136</v>
      </c>
    </row>
    <row r="589867" spans="1:1" x14ac:dyDescent="0.2">
      <c r="A589867" s="97" t="s">
        <v>137</v>
      </c>
    </row>
    <row r="589868" spans="1:1" x14ac:dyDescent="0.2">
      <c r="A589868" s="97" t="s">
        <v>138</v>
      </c>
    </row>
    <row r="589869" spans="1:1" x14ac:dyDescent="0.2">
      <c r="A589869" s="97" t="s">
        <v>139</v>
      </c>
    </row>
    <row r="589870" spans="1:1" x14ac:dyDescent="0.2">
      <c r="A589870" s="97" t="s">
        <v>140</v>
      </c>
    </row>
    <row r="589871" spans="1:1" x14ac:dyDescent="0.2">
      <c r="A589871" s="97" t="s">
        <v>141</v>
      </c>
    </row>
    <row r="589872" spans="1:1" x14ac:dyDescent="0.2">
      <c r="A589872" s="97" t="s">
        <v>142</v>
      </c>
    </row>
    <row r="589873" spans="1:1" x14ac:dyDescent="0.2">
      <c r="A589873" s="97" t="s">
        <v>143</v>
      </c>
    </row>
    <row r="589874" spans="1:1" x14ac:dyDescent="0.2">
      <c r="A589874" s="97" t="s">
        <v>144</v>
      </c>
    </row>
    <row r="589875" spans="1:1" x14ac:dyDescent="0.2">
      <c r="A589875" s="97" t="s">
        <v>145</v>
      </c>
    </row>
    <row r="589876" spans="1:1" x14ac:dyDescent="0.2">
      <c r="A589876" s="97" t="s">
        <v>146</v>
      </c>
    </row>
    <row r="589877" spans="1:1" x14ac:dyDescent="0.2">
      <c r="A589877" s="97" t="s">
        <v>147</v>
      </c>
    </row>
    <row r="589878" spans="1:1" x14ac:dyDescent="0.2">
      <c r="A589878" s="97" t="s">
        <v>148</v>
      </c>
    </row>
    <row r="589879" spans="1:1" x14ac:dyDescent="0.2">
      <c r="A589879" s="97" t="s">
        <v>149</v>
      </c>
    </row>
    <row r="589880" spans="1:1" x14ac:dyDescent="0.2">
      <c r="A589880" s="97" t="s">
        <v>150</v>
      </c>
    </row>
    <row r="589881" spans="1:1" x14ac:dyDescent="0.2">
      <c r="A589881" s="97" t="s">
        <v>151</v>
      </c>
    </row>
    <row r="589882" spans="1:1" x14ac:dyDescent="0.2">
      <c r="A589882" s="97" t="s">
        <v>152</v>
      </c>
    </row>
    <row r="589883" spans="1:1" x14ac:dyDescent="0.2">
      <c r="A589883" s="97" t="s">
        <v>153</v>
      </c>
    </row>
    <row r="589884" spans="1:1" x14ac:dyDescent="0.2">
      <c r="A589884" s="97" t="s">
        <v>154</v>
      </c>
    </row>
    <row r="589885" spans="1:1" x14ac:dyDescent="0.2">
      <c r="A589885" s="97" t="s">
        <v>155</v>
      </c>
    </row>
    <row r="589886" spans="1:1" x14ac:dyDescent="0.2">
      <c r="A589886" s="97" t="s">
        <v>156</v>
      </c>
    </row>
    <row r="589887" spans="1:1" x14ac:dyDescent="0.2">
      <c r="A589887" s="97" t="s">
        <v>157</v>
      </c>
    </row>
    <row r="589888" spans="1:1" x14ac:dyDescent="0.2">
      <c r="A589888" s="97" t="s">
        <v>158</v>
      </c>
    </row>
    <row r="589889" spans="1:1" x14ac:dyDescent="0.2">
      <c r="A589889" s="97" t="s">
        <v>159</v>
      </c>
    </row>
    <row r="589890" spans="1:1" x14ac:dyDescent="0.2">
      <c r="A589890" s="97" t="s">
        <v>160</v>
      </c>
    </row>
    <row r="589891" spans="1:1" x14ac:dyDescent="0.2">
      <c r="A589891" s="97" t="s">
        <v>161</v>
      </c>
    </row>
    <row r="589892" spans="1:1" x14ac:dyDescent="0.2">
      <c r="A589892" s="97" t="s">
        <v>162</v>
      </c>
    </row>
    <row r="589893" spans="1:1" x14ac:dyDescent="0.2">
      <c r="A589893" s="97" t="s">
        <v>163</v>
      </c>
    </row>
    <row r="589894" spans="1:1" x14ac:dyDescent="0.2">
      <c r="A589894" s="97" t="s">
        <v>164</v>
      </c>
    </row>
    <row r="589895" spans="1:1" x14ac:dyDescent="0.2">
      <c r="A589895" s="97" t="s">
        <v>165</v>
      </c>
    </row>
    <row r="589896" spans="1:1" x14ac:dyDescent="0.2">
      <c r="A589896" s="97" t="s">
        <v>166</v>
      </c>
    </row>
    <row r="589897" spans="1:1" x14ac:dyDescent="0.2">
      <c r="A589897" s="97" t="s">
        <v>167</v>
      </c>
    </row>
    <row r="589898" spans="1:1" x14ac:dyDescent="0.2">
      <c r="A589898" s="97" t="s">
        <v>168</v>
      </c>
    </row>
    <row r="589899" spans="1:1" x14ac:dyDescent="0.2">
      <c r="A589899" s="97" t="s">
        <v>169</v>
      </c>
    </row>
    <row r="589900" spans="1:1" x14ac:dyDescent="0.2">
      <c r="A589900" s="97" t="s">
        <v>170</v>
      </c>
    </row>
    <row r="589901" spans="1:1" x14ac:dyDescent="0.2">
      <c r="A589901" s="97" t="s">
        <v>171</v>
      </c>
    </row>
    <row r="589902" spans="1:1" x14ac:dyDescent="0.2">
      <c r="A589902" s="97" t="s">
        <v>172</v>
      </c>
    </row>
    <row r="589903" spans="1:1" x14ac:dyDescent="0.2">
      <c r="A589903" s="97" t="s">
        <v>173</v>
      </c>
    </row>
    <row r="589904" spans="1:1" x14ac:dyDescent="0.2">
      <c r="A589904" s="97" t="s">
        <v>174</v>
      </c>
    </row>
    <row r="589905" spans="1:1" x14ac:dyDescent="0.2">
      <c r="A589905" s="97" t="s">
        <v>175</v>
      </c>
    </row>
    <row r="589906" spans="1:1" x14ac:dyDescent="0.2">
      <c r="A589906" s="97" t="s">
        <v>176</v>
      </c>
    </row>
    <row r="589907" spans="1:1" x14ac:dyDescent="0.2">
      <c r="A589907" s="97" t="s">
        <v>177</v>
      </c>
    </row>
    <row r="589908" spans="1:1" x14ac:dyDescent="0.2">
      <c r="A589908" s="97" t="s">
        <v>178</v>
      </c>
    </row>
    <row r="589909" spans="1:1" x14ac:dyDescent="0.2">
      <c r="A589909" s="97" t="s">
        <v>179</v>
      </c>
    </row>
    <row r="589910" spans="1:1" x14ac:dyDescent="0.2">
      <c r="A589910" s="97" t="s">
        <v>180</v>
      </c>
    </row>
    <row r="589911" spans="1:1" x14ac:dyDescent="0.2">
      <c r="A589911" s="97" t="s">
        <v>181</v>
      </c>
    </row>
    <row r="589912" spans="1:1" x14ac:dyDescent="0.2">
      <c r="A589912" s="97" t="s">
        <v>182</v>
      </c>
    </row>
    <row r="589913" spans="1:1" x14ac:dyDescent="0.2">
      <c r="A589913" s="97" t="s">
        <v>183</v>
      </c>
    </row>
    <row r="606209" spans="1:1" x14ac:dyDescent="0.2">
      <c r="A606209" s="97" t="s">
        <v>95</v>
      </c>
    </row>
    <row r="606210" spans="1:1" x14ac:dyDescent="0.2">
      <c r="A606210" s="97" t="s">
        <v>96</v>
      </c>
    </row>
    <row r="606211" spans="1:1" x14ac:dyDescent="0.2">
      <c r="A606211" s="97" t="s">
        <v>97</v>
      </c>
    </row>
    <row r="606212" spans="1:1" x14ac:dyDescent="0.2">
      <c r="A606212" s="97" t="s">
        <v>98</v>
      </c>
    </row>
    <row r="606213" spans="1:1" x14ac:dyDescent="0.2">
      <c r="A606213" s="97" t="s">
        <v>99</v>
      </c>
    </row>
    <row r="606214" spans="1:1" x14ac:dyDescent="0.2">
      <c r="A606214" s="97" t="s">
        <v>100</v>
      </c>
    </row>
    <row r="606215" spans="1:1" x14ac:dyDescent="0.2">
      <c r="A606215" s="97" t="s">
        <v>101</v>
      </c>
    </row>
    <row r="606216" spans="1:1" x14ac:dyDescent="0.2">
      <c r="A606216" s="97" t="s">
        <v>102</v>
      </c>
    </row>
    <row r="606217" spans="1:1" x14ac:dyDescent="0.2">
      <c r="A606217" s="97" t="s">
        <v>103</v>
      </c>
    </row>
    <row r="606218" spans="1:1" x14ac:dyDescent="0.2">
      <c r="A606218" s="97" t="s">
        <v>104</v>
      </c>
    </row>
    <row r="606219" spans="1:1" x14ac:dyDescent="0.2">
      <c r="A606219" s="97" t="s">
        <v>105</v>
      </c>
    </row>
    <row r="606220" spans="1:1" x14ac:dyDescent="0.2">
      <c r="A606220" s="97" t="s">
        <v>106</v>
      </c>
    </row>
    <row r="606221" spans="1:1" x14ac:dyDescent="0.2">
      <c r="A606221" s="97" t="s">
        <v>107</v>
      </c>
    </row>
    <row r="606222" spans="1:1" x14ac:dyDescent="0.2">
      <c r="A606222" s="97" t="s">
        <v>108</v>
      </c>
    </row>
    <row r="606223" spans="1:1" x14ac:dyDescent="0.2">
      <c r="A606223" s="97" t="s">
        <v>109</v>
      </c>
    </row>
    <row r="606224" spans="1:1" x14ac:dyDescent="0.2">
      <c r="A606224" s="97" t="s">
        <v>110</v>
      </c>
    </row>
    <row r="606225" spans="1:1" x14ac:dyDescent="0.2">
      <c r="A606225" s="97" t="s">
        <v>111</v>
      </c>
    </row>
    <row r="606226" spans="1:1" x14ac:dyDescent="0.2">
      <c r="A606226" s="97" t="s">
        <v>112</v>
      </c>
    </row>
    <row r="606227" spans="1:1" x14ac:dyDescent="0.2">
      <c r="A606227" s="97" t="s">
        <v>113</v>
      </c>
    </row>
    <row r="606228" spans="1:1" x14ac:dyDescent="0.2">
      <c r="A606228" s="97" t="s">
        <v>114</v>
      </c>
    </row>
    <row r="606229" spans="1:1" x14ac:dyDescent="0.2">
      <c r="A606229" s="97" t="s">
        <v>115</v>
      </c>
    </row>
    <row r="606230" spans="1:1" x14ac:dyDescent="0.2">
      <c r="A606230" s="97" t="s">
        <v>116</v>
      </c>
    </row>
    <row r="606231" spans="1:1" x14ac:dyDescent="0.2">
      <c r="A606231" s="97" t="s">
        <v>117</v>
      </c>
    </row>
    <row r="606232" spans="1:1" x14ac:dyDescent="0.2">
      <c r="A606232" s="97" t="s">
        <v>118</v>
      </c>
    </row>
    <row r="606233" spans="1:1" x14ac:dyDescent="0.2">
      <c r="A606233" s="97" t="s">
        <v>119</v>
      </c>
    </row>
    <row r="606234" spans="1:1" x14ac:dyDescent="0.2">
      <c r="A606234" s="97" t="s">
        <v>120</v>
      </c>
    </row>
    <row r="606235" spans="1:1" x14ac:dyDescent="0.2">
      <c r="A606235" s="97" t="s">
        <v>121</v>
      </c>
    </row>
    <row r="606236" spans="1:1" x14ac:dyDescent="0.2">
      <c r="A606236" s="97" t="s">
        <v>122</v>
      </c>
    </row>
    <row r="606237" spans="1:1" x14ac:dyDescent="0.2">
      <c r="A606237" s="97" t="s">
        <v>123</v>
      </c>
    </row>
    <row r="606238" spans="1:1" x14ac:dyDescent="0.2">
      <c r="A606238" s="97" t="s">
        <v>124</v>
      </c>
    </row>
    <row r="606239" spans="1:1" x14ac:dyDescent="0.2">
      <c r="A606239" s="97" t="s">
        <v>125</v>
      </c>
    </row>
    <row r="606240" spans="1:1" x14ac:dyDescent="0.2">
      <c r="A606240" s="97" t="s">
        <v>126</v>
      </c>
    </row>
    <row r="606241" spans="1:1" x14ac:dyDescent="0.2">
      <c r="A606241" s="97" t="s">
        <v>127</v>
      </c>
    </row>
    <row r="606242" spans="1:1" x14ac:dyDescent="0.2">
      <c r="A606242" s="97" t="s">
        <v>128</v>
      </c>
    </row>
    <row r="606243" spans="1:1" x14ac:dyDescent="0.2">
      <c r="A606243" s="97" t="s">
        <v>129</v>
      </c>
    </row>
    <row r="606244" spans="1:1" x14ac:dyDescent="0.2">
      <c r="A606244" s="97" t="s">
        <v>130</v>
      </c>
    </row>
    <row r="606245" spans="1:1" x14ac:dyDescent="0.2">
      <c r="A606245" s="97" t="s">
        <v>131</v>
      </c>
    </row>
    <row r="606246" spans="1:1" x14ac:dyDescent="0.2">
      <c r="A606246" s="97" t="s">
        <v>132</v>
      </c>
    </row>
    <row r="606247" spans="1:1" x14ac:dyDescent="0.2">
      <c r="A606247" s="97" t="s">
        <v>133</v>
      </c>
    </row>
    <row r="606248" spans="1:1" x14ac:dyDescent="0.2">
      <c r="A606248" s="97" t="s">
        <v>134</v>
      </c>
    </row>
    <row r="606249" spans="1:1" x14ac:dyDescent="0.2">
      <c r="A606249" s="97" t="s">
        <v>135</v>
      </c>
    </row>
    <row r="606250" spans="1:1" x14ac:dyDescent="0.2">
      <c r="A606250" s="97" t="s">
        <v>136</v>
      </c>
    </row>
    <row r="606251" spans="1:1" x14ac:dyDescent="0.2">
      <c r="A606251" s="97" t="s">
        <v>137</v>
      </c>
    </row>
    <row r="606252" spans="1:1" x14ac:dyDescent="0.2">
      <c r="A606252" s="97" t="s">
        <v>138</v>
      </c>
    </row>
    <row r="606253" spans="1:1" x14ac:dyDescent="0.2">
      <c r="A606253" s="97" t="s">
        <v>139</v>
      </c>
    </row>
    <row r="606254" spans="1:1" x14ac:dyDescent="0.2">
      <c r="A606254" s="97" t="s">
        <v>140</v>
      </c>
    </row>
    <row r="606255" spans="1:1" x14ac:dyDescent="0.2">
      <c r="A606255" s="97" t="s">
        <v>141</v>
      </c>
    </row>
    <row r="606256" spans="1:1" x14ac:dyDescent="0.2">
      <c r="A606256" s="97" t="s">
        <v>142</v>
      </c>
    </row>
    <row r="606257" spans="1:1" x14ac:dyDescent="0.2">
      <c r="A606257" s="97" t="s">
        <v>143</v>
      </c>
    </row>
    <row r="606258" spans="1:1" x14ac:dyDescent="0.2">
      <c r="A606258" s="97" t="s">
        <v>144</v>
      </c>
    </row>
    <row r="606259" spans="1:1" x14ac:dyDescent="0.2">
      <c r="A606259" s="97" t="s">
        <v>145</v>
      </c>
    </row>
    <row r="606260" spans="1:1" x14ac:dyDescent="0.2">
      <c r="A606260" s="97" t="s">
        <v>146</v>
      </c>
    </row>
    <row r="606261" spans="1:1" x14ac:dyDescent="0.2">
      <c r="A606261" s="97" t="s">
        <v>147</v>
      </c>
    </row>
    <row r="606262" spans="1:1" x14ac:dyDescent="0.2">
      <c r="A606262" s="97" t="s">
        <v>148</v>
      </c>
    </row>
    <row r="606263" spans="1:1" x14ac:dyDescent="0.2">
      <c r="A606263" s="97" t="s">
        <v>149</v>
      </c>
    </row>
    <row r="606264" spans="1:1" x14ac:dyDescent="0.2">
      <c r="A606264" s="97" t="s">
        <v>150</v>
      </c>
    </row>
    <row r="606265" spans="1:1" x14ac:dyDescent="0.2">
      <c r="A606265" s="97" t="s">
        <v>151</v>
      </c>
    </row>
    <row r="606266" spans="1:1" x14ac:dyDescent="0.2">
      <c r="A606266" s="97" t="s">
        <v>152</v>
      </c>
    </row>
    <row r="606267" spans="1:1" x14ac:dyDescent="0.2">
      <c r="A606267" s="97" t="s">
        <v>153</v>
      </c>
    </row>
    <row r="606268" spans="1:1" x14ac:dyDescent="0.2">
      <c r="A606268" s="97" t="s">
        <v>154</v>
      </c>
    </row>
    <row r="606269" spans="1:1" x14ac:dyDescent="0.2">
      <c r="A606269" s="97" t="s">
        <v>155</v>
      </c>
    </row>
    <row r="606270" spans="1:1" x14ac:dyDescent="0.2">
      <c r="A606270" s="97" t="s">
        <v>156</v>
      </c>
    </row>
    <row r="606271" spans="1:1" x14ac:dyDescent="0.2">
      <c r="A606271" s="97" t="s">
        <v>157</v>
      </c>
    </row>
    <row r="606272" spans="1:1" x14ac:dyDescent="0.2">
      <c r="A606272" s="97" t="s">
        <v>158</v>
      </c>
    </row>
    <row r="606273" spans="1:1" x14ac:dyDescent="0.2">
      <c r="A606273" s="97" t="s">
        <v>159</v>
      </c>
    </row>
    <row r="606274" spans="1:1" x14ac:dyDescent="0.2">
      <c r="A606274" s="97" t="s">
        <v>160</v>
      </c>
    </row>
    <row r="606275" spans="1:1" x14ac:dyDescent="0.2">
      <c r="A606275" s="97" t="s">
        <v>161</v>
      </c>
    </row>
    <row r="606276" spans="1:1" x14ac:dyDescent="0.2">
      <c r="A606276" s="97" t="s">
        <v>162</v>
      </c>
    </row>
    <row r="606277" spans="1:1" x14ac:dyDescent="0.2">
      <c r="A606277" s="97" t="s">
        <v>163</v>
      </c>
    </row>
    <row r="606278" spans="1:1" x14ac:dyDescent="0.2">
      <c r="A606278" s="97" t="s">
        <v>164</v>
      </c>
    </row>
    <row r="606279" spans="1:1" x14ac:dyDescent="0.2">
      <c r="A606279" s="97" t="s">
        <v>165</v>
      </c>
    </row>
    <row r="606280" spans="1:1" x14ac:dyDescent="0.2">
      <c r="A606280" s="97" t="s">
        <v>166</v>
      </c>
    </row>
    <row r="606281" spans="1:1" x14ac:dyDescent="0.2">
      <c r="A606281" s="97" t="s">
        <v>167</v>
      </c>
    </row>
    <row r="606282" spans="1:1" x14ac:dyDescent="0.2">
      <c r="A606282" s="97" t="s">
        <v>168</v>
      </c>
    </row>
    <row r="606283" spans="1:1" x14ac:dyDescent="0.2">
      <c r="A606283" s="97" t="s">
        <v>169</v>
      </c>
    </row>
    <row r="606284" spans="1:1" x14ac:dyDescent="0.2">
      <c r="A606284" s="97" t="s">
        <v>170</v>
      </c>
    </row>
    <row r="606285" spans="1:1" x14ac:dyDescent="0.2">
      <c r="A606285" s="97" t="s">
        <v>171</v>
      </c>
    </row>
    <row r="606286" spans="1:1" x14ac:dyDescent="0.2">
      <c r="A606286" s="97" t="s">
        <v>172</v>
      </c>
    </row>
    <row r="606287" spans="1:1" x14ac:dyDescent="0.2">
      <c r="A606287" s="97" t="s">
        <v>173</v>
      </c>
    </row>
    <row r="606288" spans="1:1" x14ac:dyDescent="0.2">
      <c r="A606288" s="97" t="s">
        <v>174</v>
      </c>
    </row>
    <row r="606289" spans="1:1" x14ac:dyDescent="0.2">
      <c r="A606289" s="97" t="s">
        <v>175</v>
      </c>
    </row>
    <row r="606290" spans="1:1" x14ac:dyDescent="0.2">
      <c r="A606290" s="97" t="s">
        <v>176</v>
      </c>
    </row>
    <row r="606291" spans="1:1" x14ac:dyDescent="0.2">
      <c r="A606291" s="97" t="s">
        <v>177</v>
      </c>
    </row>
    <row r="606292" spans="1:1" x14ac:dyDescent="0.2">
      <c r="A606292" s="97" t="s">
        <v>178</v>
      </c>
    </row>
    <row r="606293" spans="1:1" x14ac:dyDescent="0.2">
      <c r="A606293" s="97" t="s">
        <v>179</v>
      </c>
    </row>
    <row r="606294" spans="1:1" x14ac:dyDescent="0.2">
      <c r="A606294" s="97" t="s">
        <v>180</v>
      </c>
    </row>
    <row r="606295" spans="1:1" x14ac:dyDescent="0.2">
      <c r="A606295" s="97" t="s">
        <v>181</v>
      </c>
    </row>
    <row r="606296" spans="1:1" x14ac:dyDescent="0.2">
      <c r="A606296" s="97" t="s">
        <v>182</v>
      </c>
    </row>
    <row r="606297" spans="1:1" x14ac:dyDescent="0.2">
      <c r="A606297" s="97" t="s">
        <v>183</v>
      </c>
    </row>
    <row r="622593" spans="1:1" x14ac:dyDescent="0.2">
      <c r="A622593" s="97" t="s">
        <v>95</v>
      </c>
    </row>
    <row r="622594" spans="1:1" x14ac:dyDescent="0.2">
      <c r="A622594" s="97" t="s">
        <v>96</v>
      </c>
    </row>
    <row r="622595" spans="1:1" x14ac:dyDescent="0.2">
      <c r="A622595" s="97" t="s">
        <v>97</v>
      </c>
    </row>
    <row r="622596" spans="1:1" x14ac:dyDescent="0.2">
      <c r="A622596" s="97" t="s">
        <v>98</v>
      </c>
    </row>
    <row r="622597" spans="1:1" x14ac:dyDescent="0.2">
      <c r="A622597" s="97" t="s">
        <v>99</v>
      </c>
    </row>
    <row r="622598" spans="1:1" x14ac:dyDescent="0.2">
      <c r="A622598" s="97" t="s">
        <v>100</v>
      </c>
    </row>
    <row r="622599" spans="1:1" x14ac:dyDescent="0.2">
      <c r="A622599" s="97" t="s">
        <v>101</v>
      </c>
    </row>
    <row r="622600" spans="1:1" x14ac:dyDescent="0.2">
      <c r="A622600" s="97" t="s">
        <v>102</v>
      </c>
    </row>
    <row r="622601" spans="1:1" x14ac:dyDescent="0.2">
      <c r="A622601" s="97" t="s">
        <v>103</v>
      </c>
    </row>
    <row r="622602" spans="1:1" x14ac:dyDescent="0.2">
      <c r="A622602" s="97" t="s">
        <v>104</v>
      </c>
    </row>
    <row r="622603" spans="1:1" x14ac:dyDescent="0.2">
      <c r="A622603" s="97" t="s">
        <v>105</v>
      </c>
    </row>
    <row r="622604" spans="1:1" x14ac:dyDescent="0.2">
      <c r="A622604" s="97" t="s">
        <v>106</v>
      </c>
    </row>
    <row r="622605" spans="1:1" x14ac:dyDescent="0.2">
      <c r="A622605" s="97" t="s">
        <v>107</v>
      </c>
    </row>
    <row r="622606" spans="1:1" x14ac:dyDescent="0.2">
      <c r="A622606" s="97" t="s">
        <v>108</v>
      </c>
    </row>
    <row r="622607" spans="1:1" x14ac:dyDescent="0.2">
      <c r="A622607" s="97" t="s">
        <v>109</v>
      </c>
    </row>
    <row r="622608" spans="1:1" x14ac:dyDescent="0.2">
      <c r="A622608" s="97" t="s">
        <v>110</v>
      </c>
    </row>
    <row r="622609" spans="1:1" x14ac:dyDescent="0.2">
      <c r="A622609" s="97" t="s">
        <v>111</v>
      </c>
    </row>
    <row r="622610" spans="1:1" x14ac:dyDescent="0.2">
      <c r="A622610" s="97" t="s">
        <v>112</v>
      </c>
    </row>
    <row r="622611" spans="1:1" x14ac:dyDescent="0.2">
      <c r="A622611" s="97" t="s">
        <v>113</v>
      </c>
    </row>
    <row r="622612" spans="1:1" x14ac:dyDescent="0.2">
      <c r="A622612" s="97" t="s">
        <v>114</v>
      </c>
    </row>
    <row r="622613" spans="1:1" x14ac:dyDescent="0.2">
      <c r="A622613" s="97" t="s">
        <v>115</v>
      </c>
    </row>
    <row r="622614" spans="1:1" x14ac:dyDescent="0.2">
      <c r="A622614" s="97" t="s">
        <v>116</v>
      </c>
    </row>
    <row r="622615" spans="1:1" x14ac:dyDescent="0.2">
      <c r="A622615" s="97" t="s">
        <v>117</v>
      </c>
    </row>
    <row r="622616" spans="1:1" x14ac:dyDescent="0.2">
      <c r="A622616" s="97" t="s">
        <v>118</v>
      </c>
    </row>
    <row r="622617" spans="1:1" x14ac:dyDescent="0.2">
      <c r="A622617" s="97" t="s">
        <v>119</v>
      </c>
    </row>
    <row r="622618" spans="1:1" x14ac:dyDescent="0.2">
      <c r="A622618" s="97" t="s">
        <v>120</v>
      </c>
    </row>
    <row r="622619" spans="1:1" x14ac:dyDescent="0.2">
      <c r="A622619" s="97" t="s">
        <v>121</v>
      </c>
    </row>
    <row r="622620" spans="1:1" x14ac:dyDescent="0.2">
      <c r="A622620" s="97" t="s">
        <v>122</v>
      </c>
    </row>
    <row r="622621" spans="1:1" x14ac:dyDescent="0.2">
      <c r="A622621" s="97" t="s">
        <v>123</v>
      </c>
    </row>
    <row r="622622" spans="1:1" x14ac:dyDescent="0.2">
      <c r="A622622" s="97" t="s">
        <v>124</v>
      </c>
    </row>
    <row r="622623" spans="1:1" x14ac:dyDescent="0.2">
      <c r="A622623" s="97" t="s">
        <v>125</v>
      </c>
    </row>
    <row r="622624" spans="1:1" x14ac:dyDescent="0.2">
      <c r="A622624" s="97" t="s">
        <v>126</v>
      </c>
    </row>
    <row r="622625" spans="1:1" x14ac:dyDescent="0.2">
      <c r="A622625" s="97" t="s">
        <v>127</v>
      </c>
    </row>
    <row r="622626" spans="1:1" x14ac:dyDescent="0.2">
      <c r="A622626" s="97" t="s">
        <v>128</v>
      </c>
    </row>
    <row r="622627" spans="1:1" x14ac:dyDescent="0.2">
      <c r="A622627" s="97" t="s">
        <v>129</v>
      </c>
    </row>
    <row r="622628" spans="1:1" x14ac:dyDescent="0.2">
      <c r="A622628" s="97" t="s">
        <v>130</v>
      </c>
    </row>
    <row r="622629" spans="1:1" x14ac:dyDescent="0.2">
      <c r="A622629" s="97" t="s">
        <v>131</v>
      </c>
    </row>
    <row r="622630" spans="1:1" x14ac:dyDescent="0.2">
      <c r="A622630" s="97" t="s">
        <v>132</v>
      </c>
    </row>
    <row r="622631" spans="1:1" x14ac:dyDescent="0.2">
      <c r="A622631" s="97" t="s">
        <v>133</v>
      </c>
    </row>
    <row r="622632" spans="1:1" x14ac:dyDescent="0.2">
      <c r="A622632" s="97" t="s">
        <v>134</v>
      </c>
    </row>
    <row r="622633" spans="1:1" x14ac:dyDescent="0.2">
      <c r="A622633" s="97" t="s">
        <v>135</v>
      </c>
    </row>
    <row r="622634" spans="1:1" x14ac:dyDescent="0.2">
      <c r="A622634" s="97" t="s">
        <v>136</v>
      </c>
    </row>
    <row r="622635" spans="1:1" x14ac:dyDescent="0.2">
      <c r="A622635" s="97" t="s">
        <v>137</v>
      </c>
    </row>
    <row r="622636" spans="1:1" x14ac:dyDescent="0.2">
      <c r="A622636" s="97" t="s">
        <v>138</v>
      </c>
    </row>
    <row r="622637" spans="1:1" x14ac:dyDescent="0.2">
      <c r="A622637" s="97" t="s">
        <v>139</v>
      </c>
    </row>
    <row r="622638" spans="1:1" x14ac:dyDescent="0.2">
      <c r="A622638" s="97" t="s">
        <v>140</v>
      </c>
    </row>
    <row r="622639" spans="1:1" x14ac:dyDescent="0.2">
      <c r="A622639" s="97" t="s">
        <v>141</v>
      </c>
    </row>
    <row r="622640" spans="1:1" x14ac:dyDescent="0.2">
      <c r="A622640" s="97" t="s">
        <v>142</v>
      </c>
    </row>
    <row r="622641" spans="1:1" x14ac:dyDescent="0.2">
      <c r="A622641" s="97" t="s">
        <v>143</v>
      </c>
    </row>
    <row r="622642" spans="1:1" x14ac:dyDescent="0.2">
      <c r="A622642" s="97" t="s">
        <v>144</v>
      </c>
    </row>
    <row r="622643" spans="1:1" x14ac:dyDescent="0.2">
      <c r="A622643" s="97" t="s">
        <v>145</v>
      </c>
    </row>
    <row r="622644" spans="1:1" x14ac:dyDescent="0.2">
      <c r="A622644" s="97" t="s">
        <v>146</v>
      </c>
    </row>
    <row r="622645" spans="1:1" x14ac:dyDescent="0.2">
      <c r="A622645" s="97" t="s">
        <v>147</v>
      </c>
    </row>
    <row r="622646" spans="1:1" x14ac:dyDescent="0.2">
      <c r="A622646" s="97" t="s">
        <v>148</v>
      </c>
    </row>
    <row r="622647" spans="1:1" x14ac:dyDescent="0.2">
      <c r="A622647" s="97" t="s">
        <v>149</v>
      </c>
    </row>
    <row r="622648" spans="1:1" x14ac:dyDescent="0.2">
      <c r="A622648" s="97" t="s">
        <v>150</v>
      </c>
    </row>
    <row r="622649" spans="1:1" x14ac:dyDescent="0.2">
      <c r="A622649" s="97" t="s">
        <v>151</v>
      </c>
    </row>
    <row r="622650" spans="1:1" x14ac:dyDescent="0.2">
      <c r="A622650" s="97" t="s">
        <v>152</v>
      </c>
    </row>
    <row r="622651" spans="1:1" x14ac:dyDescent="0.2">
      <c r="A622651" s="97" t="s">
        <v>153</v>
      </c>
    </row>
    <row r="622652" spans="1:1" x14ac:dyDescent="0.2">
      <c r="A622652" s="97" t="s">
        <v>154</v>
      </c>
    </row>
    <row r="622653" spans="1:1" x14ac:dyDescent="0.2">
      <c r="A622653" s="97" t="s">
        <v>155</v>
      </c>
    </row>
    <row r="622654" spans="1:1" x14ac:dyDescent="0.2">
      <c r="A622654" s="97" t="s">
        <v>156</v>
      </c>
    </row>
    <row r="622655" spans="1:1" x14ac:dyDescent="0.2">
      <c r="A622655" s="97" t="s">
        <v>157</v>
      </c>
    </row>
    <row r="622656" spans="1:1" x14ac:dyDescent="0.2">
      <c r="A622656" s="97" t="s">
        <v>158</v>
      </c>
    </row>
    <row r="622657" spans="1:1" x14ac:dyDescent="0.2">
      <c r="A622657" s="97" t="s">
        <v>159</v>
      </c>
    </row>
    <row r="622658" spans="1:1" x14ac:dyDescent="0.2">
      <c r="A622658" s="97" t="s">
        <v>160</v>
      </c>
    </row>
    <row r="622659" spans="1:1" x14ac:dyDescent="0.2">
      <c r="A622659" s="97" t="s">
        <v>161</v>
      </c>
    </row>
    <row r="622660" spans="1:1" x14ac:dyDescent="0.2">
      <c r="A622660" s="97" t="s">
        <v>162</v>
      </c>
    </row>
    <row r="622661" spans="1:1" x14ac:dyDescent="0.2">
      <c r="A622661" s="97" t="s">
        <v>163</v>
      </c>
    </row>
    <row r="622662" spans="1:1" x14ac:dyDescent="0.2">
      <c r="A622662" s="97" t="s">
        <v>164</v>
      </c>
    </row>
    <row r="622663" spans="1:1" x14ac:dyDescent="0.2">
      <c r="A622663" s="97" t="s">
        <v>165</v>
      </c>
    </row>
    <row r="622664" spans="1:1" x14ac:dyDescent="0.2">
      <c r="A622664" s="97" t="s">
        <v>166</v>
      </c>
    </row>
    <row r="622665" spans="1:1" x14ac:dyDescent="0.2">
      <c r="A622665" s="97" t="s">
        <v>167</v>
      </c>
    </row>
    <row r="622666" spans="1:1" x14ac:dyDescent="0.2">
      <c r="A622666" s="97" t="s">
        <v>168</v>
      </c>
    </row>
    <row r="622667" spans="1:1" x14ac:dyDescent="0.2">
      <c r="A622667" s="97" t="s">
        <v>169</v>
      </c>
    </row>
    <row r="622668" spans="1:1" x14ac:dyDescent="0.2">
      <c r="A622668" s="97" t="s">
        <v>170</v>
      </c>
    </row>
    <row r="622669" spans="1:1" x14ac:dyDescent="0.2">
      <c r="A622669" s="97" t="s">
        <v>171</v>
      </c>
    </row>
    <row r="622670" spans="1:1" x14ac:dyDescent="0.2">
      <c r="A622670" s="97" t="s">
        <v>172</v>
      </c>
    </row>
    <row r="622671" spans="1:1" x14ac:dyDescent="0.2">
      <c r="A622671" s="97" t="s">
        <v>173</v>
      </c>
    </row>
    <row r="622672" spans="1:1" x14ac:dyDescent="0.2">
      <c r="A622672" s="97" t="s">
        <v>174</v>
      </c>
    </row>
    <row r="622673" spans="1:1" x14ac:dyDescent="0.2">
      <c r="A622673" s="97" t="s">
        <v>175</v>
      </c>
    </row>
    <row r="622674" spans="1:1" x14ac:dyDescent="0.2">
      <c r="A622674" s="97" t="s">
        <v>176</v>
      </c>
    </row>
    <row r="622675" spans="1:1" x14ac:dyDescent="0.2">
      <c r="A622675" s="97" t="s">
        <v>177</v>
      </c>
    </row>
    <row r="622676" spans="1:1" x14ac:dyDescent="0.2">
      <c r="A622676" s="97" t="s">
        <v>178</v>
      </c>
    </row>
    <row r="622677" spans="1:1" x14ac:dyDescent="0.2">
      <c r="A622677" s="97" t="s">
        <v>179</v>
      </c>
    </row>
    <row r="622678" spans="1:1" x14ac:dyDescent="0.2">
      <c r="A622678" s="97" t="s">
        <v>180</v>
      </c>
    </row>
    <row r="622679" spans="1:1" x14ac:dyDescent="0.2">
      <c r="A622679" s="97" t="s">
        <v>181</v>
      </c>
    </row>
    <row r="622680" spans="1:1" x14ac:dyDescent="0.2">
      <c r="A622680" s="97" t="s">
        <v>182</v>
      </c>
    </row>
    <row r="622681" spans="1:1" x14ac:dyDescent="0.2">
      <c r="A622681" s="97" t="s">
        <v>183</v>
      </c>
    </row>
    <row r="638977" spans="1:1" x14ac:dyDescent="0.2">
      <c r="A638977" s="97" t="s">
        <v>95</v>
      </c>
    </row>
    <row r="638978" spans="1:1" x14ac:dyDescent="0.2">
      <c r="A638978" s="97" t="s">
        <v>96</v>
      </c>
    </row>
    <row r="638979" spans="1:1" x14ac:dyDescent="0.2">
      <c r="A638979" s="97" t="s">
        <v>97</v>
      </c>
    </row>
    <row r="638980" spans="1:1" x14ac:dyDescent="0.2">
      <c r="A638980" s="97" t="s">
        <v>98</v>
      </c>
    </row>
    <row r="638981" spans="1:1" x14ac:dyDescent="0.2">
      <c r="A638981" s="97" t="s">
        <v>99</v>
      </c>
    </row>
    <row r="638982" spans="1:1" x14ac:dyDescent="0.2">
      <c r="A638982" s="97" t="s">
        <v>100</v>
      </c>
    </row>
    <row r="638983" spans="1:1" x14ac:dyDescent="0.2">
      <c r="A638983" s="97" t="s">
        <v>101</v>
      </c>
    </row>
    <row r="638984" spans="1:1" x14ac:dyDescent="0.2">
      <c r="A638984" s="97" t="s">
        <v>102</v>
      </c>
    </row>
    <row r="638985" spans="1:1" x14ac:dyDescent="0.2">
      <c r="A638985" s="97" t="s">
        <v>103</v>
      </c>
    </row>
    <row r="638986" spans="1:1" x14ac:dyDescent="0.2">
      <c r="A638986" s="97" t="s">
        <v>104</v>
      </c>
    </row>
    <row r="638987" spans="1:1" x14ac:dyDescent="0.2">
      <c r="A638987" s="97" t="s">
        <v>105</v>
      </c>
    </row>
    <row r="638988" spans="1:1" x14ac:dyDescent="0.2">
      <c r="A638988" s="97" t="s">
        <v>106</v>
      </c>
    </row>
    <row r="638989" spans="1:1" x14ac:dyDescent="0.2">
      <c r="A638989" s="97" t="s">
        <v>107</v>
      </c>
    </row>
    <row r="638990" spans="1:1" x14ac:dyDescent="0.2">
      <c r="A638990" s="97" t="s">
        <v>108</v>
      </c>
    </row>
    <row r="638991" spans="1:1" x14ac:dyDescent="0.2">
      <c r="A638991" s="97" t="s">
        <v>109</v>
      </c>
    </row>
    <row r="638992" spans="1:1" x14ac:dyDescent="0.2">
      <c r="A638992" s="97" t="s">
        <v>110</v>
      </c>
    </row>
    <row r="638993" spans="1:1" x14ac:dyDescent="0.2">
      <c r="A638993" s="97" t="s">
        <v>111</v>
      </c>
    </row>
    <row r="638994" spans="1:1" x14ac:dyDescent="0.2">
      <c r="A638994" s="97" t="s">
        <v>112</v>
      </c>
    </row>
    <row r="638995" spans="1:1" x14ac:dyDescent="0.2">
      <c r="A638995" s="97" t="s">
        <v>113</v>
      </c>
    </row>
    <row r="638996" spans="1:1" x14ac:dyDescent="0.2">
      <c r="A638996" s="97" t="s">
        <v>114</v>
      </c>
    </row>
    <row r="638997" spans="1:1" x14ac:dyDescent="0.2">
      <c r="A638997" s="97" t="s">
        <v>115</v>
      </c>
    </row>
    <row r="638998" spans="1:1" x14ac:dyDescent="0.2">
      <c r="A638998" s="97" t="s">
        <v>116</v>
      </c>
    </row>
    <row r="638999" spans="1:1" x14ac:dyDescent="0.2">
      <c r="A638999" s="97" t="s">
        <v>117</v>
      </c>
    </row>
    <row r="639000" spans="1:1" x14ac:dyDescent="0.2">
      <c r="A639000" s="97" t="s">
        <v>118</v>
      </c>
    </row>
    <row r="639001" spans="1:1" x14ac:dyDescent="0.2">
      <c r="A639001" s="97" t="s">
        <v>119</v>
      </c>
    </row>
    <row r="639002" spans="1:1" x14ac:dyDescent="0.2">
      <c r="A639002" s="97" t="s">
        <v>120</v>
      </c>
    </row>
    <row r="639003" spans="1:1" x14ac:dyDescent="0.2">
      <c r="A639003" s="97" t="s">
        <v>121</v>
      </c>
    </row>
    <row r="639004" spans="1:1" x14ac:dyDescent="0.2">
      <c r="A639004" s="97" t="s">
        <v>122</v>
      </c>
    </row>
    <row r="639005" spans="1:1" x14ac:dyDescent="0.2">
      <c r="A639005" s="97" t="s">
        <v>123</v>
      </c>
    </row>
    <row r="639006" spans="1:1" x14ac:dyDescent="0.2">
      <c r="A639006" s="97" t="s">
        <v>124</v>
      </c>
    </row>
    <row r="639007" spans="1:1" x14ac:dyDescent="0.2">
      <c r="A639007" s="97" t="s">
        <v>125</v>
      </c>
    </row>
    <row r="639008" spans="1:1" x14ac:dyDescent="0.2">
      <c r="A639008" s="97" t="s">
        <v>126</v>
      </c>
    </row>
    <row r="639009" spans="1:1" x14ac:dyDescent="0.2">
      <c r="A639009" s="97" t="s">
        <v>127</v>
      </c>
    </row>
    <row r="639010" spans="1:1" x14ac:dyDescent="0.2">
      <c r="A639010" s="97" t="s">
        <v>128</v>
      </c>
    </row>
    <row r="639011" spans="1:1" x14ac:dyDescent="0.2">
      <c r="A639011" s="97" t="s">
        <v>129</v>
      </c>
    </row>
    <row r="639012" spans="1:1" x14ac:dyDescent="0.2">
      <c r="A639012" s="97" t="s">
        <v>130</v>
      </c>
    </row>
    <row r="639013" spans="1:1" x14ac:dyDescent="0.2">
      <c r="A639013" s="97" t="s">
        <v>131</v>
      </c>
    </row>
    <row r="639014" spans="1:1" x14ac:dyDescent="0.2">
      <c r="A639014" s="97" t="s">
        <v>132</v>
      </c>
    </row>
    <row r="639015" spans="1:1" x14ac:dyDescent="0.2">
      <c r="A639015" s="97" t="s">
        <v>133</v>
      </c>
    </row>
    <row r="639016" spans="1:1" x14ac:dyDescent="0.2">
      <c r="A639016" s="97" t="s">
        <v>134</v>
      </c>
    </row>
    <row r="639017" spans="1:1" x14ac:dyDescent="0.2">
      <c r="A639017" s="97" t="s">
        <v>135</v>
      </c>
    </row>
    <row r="639018" spans="1:1" x14ac:dyDescent="0.2">
      <c r="A639018" s="97" t="s">
        <v>136</v>
      </c>
    </row>
    <row r="639019" spans="1:1" x14ac:dyDescent="0.2">
      <c r="A639019" s="97" t="s">
        <v>137</v>
      </c>
    </row>
    <row r="639020" spans="1:1" x14ac:dyDescent="0.2">
      <c r="A639020" s="97" t="s">
        <v>138</v>
      </c>
    </row>
    <row r="639021" spans="1:1" x14ac:dyDescent="0.2">
      <c r="A639021" s="97" t="s">
        <v>139</v>
      </c>
    </row>
    <row r="639022" spans="1:1" x14ac:dyDescent="0.2">
      <c r="A639022" s="97" t="s">
        <v>140</v>
      </c>
    </row>
    <row r="639023" spans="1:1" x14ac:dyDescent="0.2">
      <c r="A639023" s="97" t="s">
        <v>141</v>
      </c>
    </row>
    <row r="639024" spans="1:1" x14ac:dyDescent="0.2">
      <c r="A639024" s="97" t="s">
        <v>142</v>
      </c>
    </row>
    <row r="639025" spans="1:1" x14ac:dyDescent="0.2">
      <c r="A639025" s="97" t="s">
        <v>143</v>
      </c>
    </row>
    <row r="639026" spans="1:1" x14ac:dyDescent="0.2">
      <c r="A639026" s="97" t="s">
        <v>144</v>
      </c>
    </row>
    <row r="639027" spans="1:1" x14ac:dyDescent="0.2">
      <c r="A639027" s="97" t="s">
        <v>145</v>
      </c>
    </row>
    <row r="639028" spans="1:1" x14ac:dyDescent="0.2">
      <c r="A639028" s="97" t="s">
        <v>146</v>
      </c>
    </row>
    <row r="639029" spans="1:1" x14ac:dyDescent="0.2">
      <c r="A639029" s="97" t="s">
        <v>147</v>
      </c>
    </row>
    <row r="639030" spans="1:1" x14ac:dyDescent="0.2">
      <c r="A639030" s="97" t="s">
        <v>148</v>
      </c>
    </row>
    <row r="639031" spans="1:1" x14ac:dyDescent="0.2">
      <c r="A639031" s="97" t="s">
        <v>149</v>
      </c>
    </row>
    <row r="639032" spans="1:1" x14ac:dyDescent="0.2">
      <c r="A639032" s="97" t="s">
        <v>150</v>
      </c>
    </row>
    <row r="639033" spans="1:1" x14ac:dyDescent="0.2">
      <c r="A639033" s="97" t="s">
        <v>151</v>
      </c>
    </row>
    <row r="639034" spans="1:1" x14ac:dyDescent="0.2">
      <c r="A639034" s="97" t="s">
        <v>152</v>
      </c>
    </row>
    <row r="639035" spans="1:1" x14ac:dyDescent="0.2">
      <c r="A639035" s="97" t="s">
        <v>153</v>
      </c>
    </row>
    <row r="639036" spans="1:1" x14ac:dyDescent="0.2">
      <c r="A639036" s="97" t="s">
        <v>154</v>
      </c>
    </row>
    <row r="639037" spans="1:1" x14ac:dyDescent="0.2">
      <c r="A639037" s="97" t="s">
        <v>155</v>
      </c>
    </row>
    <row r="639038" spans="1:1" x14ac:dyDescent="0.2">
      <c r="A639038" s="97" t="s">
        <v>156</v>
      </c>
    </row>
    <row r="639039" spans="1:1" x14ac:dyDescent="0.2">
      <c r="A639039" s="97" t="s">
        <v>157</v>
      </c>
    </row>
    <row r="639040" spans="1:1" x14ac:dyDescent="0.2">
      <c r="A639040" s="97" t="s">
        <v>158</v>
      </c>
    </row>
    <row r="639041" spans="1:1" x14ac:dyDescent="0.2">
      <c r="A639041" s="97" t="s">
        <v>159</v>
      </c>
    </row>
    <row r="639042" spans="1:1" x14ac:dyDescent="0.2">
      <c r="A639042" s="97" t="s">
        <v>160</v>
      </c>
    </row>
    <row r="639043" spans="1:1" x14ac:dyDescent="0.2">
      <c r="A639043" s="97" t="s">
        <v>161</v>
      </c>
    </row>
    <row r="639044" spans="1:1" x14ac:dyDescent="0.2">
      <c r="A639044" s="97" t="s">
        <v>162</v>
      </c>
    </row>
    <row r="639045" spans="1:1" x14ac:dyDescent="0.2">
      <c r="A639045" s="97" t="s">
        <v>163</v>
      </c>
    </row>
    <row r="639046" spans="1:1" x14ac:dyDescent="0.2">
      <c r="A639046" s="97" t="s">
        <v>164</v>
      </c>
    </row>
    <row r="639047" spans="1:1" x14ac:dyDescent="0.2">
      <c r="A639047" s="97" t="s">
        <v>165</v>
      </c>
    </row>
    <row r="639048" spans="1:1" x14ac:dyDescent="0.2">
      <c r="A639048" s="97" t="s">
        <v>166</v>
      </c>
    </row>
    <row r="639049" spans="1:1" x14ac:dyDescent="0.2">
      <c r="A639049" s="97" t="s">
        <v>167</v>
      </c>
    </row>
    <row r="639050" spans="1:1" x14ac:dyDescent="0.2">
      <c r="A639050" s="97" t="s">
        <v>168</v>
      </c>
    </row>
    <row r="639051" spans="1:1" x14ac:dyDescent="0.2">
      <c r="A639051" s="97" t="s">
        <v>169</v>
      </c>
    </row>
    <row r="639052" spans="1:1" x14ac:dyDescent="0.2">
      <c r="A639052" s="97" t="s">
        <v>170</v>
      </c>
    </row>
    <row r="639053" spans="1:1" x14ac:dyDescent="0.2">
      <c r="A639053" s="97" t="s">
        <v>171</v>
      </c>
    </row>
    <row r="639054" spans="1:1" x14ac:dyDescent="0.2">
      <c r="A639054" s="97" t="s">
        <v>172</v>
      </c>
    </row>
    <row r="639055" spans="1:1" x14ac:dyDescent="0.2">
      <c r="A639055" s="97" t="s">
        <v>173</v>
      </c>
    </row>
    <row r="639056" spans="1:1" x14ac:dyDescent="0.2">
      <c r="A639056" s="97" t="s">
        <v>174</v>
      </c>
    </row>
    <row r="639057" spans="1:1" x14ac:dyDescent="0.2">
      <c r="A639057" s="97" t="s">
        <v>175</v>
      </c>
    </row>
    <row r="639058" spans="1:1" x14ac:dyDescent="0.2">
      <c r="A639058" s="97" t="s">
        <v>176</v>
      </c>
    </row>
    <row r="639059" spans="1:1" x14ac:dyDescent="0.2">
      <c r="A639059" s="97" t="s">
        <v>177</v>
      </c>
    </row>
    <row r="639060" spans="1:1" x14ac:dyDescent="0.2">
      <c r="A639060" s="97" t="s">
        <v>178</v>
      </c>
    </row>
    <row r="639061" spans="1:1" x14ac:dyDescent="0.2">
      <c r="A639061" s="97" t="s">
        <v>179</v>
      </c>
    </row>
    <row r="639062" spans="1:1" x14ac:dyDescent="0.2">
      <c r="A639062" s="97" t="s">
        <v>180</v>
      </c>
    </row>
    <row r="639063" spans="1:1" x14ac:dyDescent="0.2">
      <c r="A639063" s="97" t="s">
        <v>181</v>
      </c>
    </row>
    <row r="639064" spans="1:1" x14ac:dyDescent="0.2">
      <c r="A639064" s="97" t="s">
        <v>182</v>
      </c>
    </row>
    <row r="639065" spans="1:1" x14ac:dyDescent="0.2">
      <c r="A639065" s="97" t="s">
        <v>183</v>
      </c>
    </row>
    <row r="655361" spans="1:1" x14ac:dyDescent="0.2">
      <c r="A655361" s="97" t="s">
        <v>95</v>
      </c>
    </row>
    <row r="655362" spans="1:1" x14ac:dyDescent="0.2">
      <c r="A655362" s="97" t="s">
        <v>96</v>
      </c>
    </row>
    <row r="655363" spans="1:1" x14ac:dyDescent="0.2">
      <c r="A655363" s="97" t="s">
        <v>97</v>
      </c>
    </row>
    <row r="655364" spans="1:1" x14ac:dyDescent="0.2">
      <c r="A655364" s="97" t="s">
        <v>98</v>
      </c>
    </row>
    <row r="655365" spans="1:1" x14ac:dyDescent="0.2">
      <c r="A655365" s="97" t="s">
        <v>99</v>
      </c>
    </row>
    <row r="655366" spans="1:1" x14ac:dyDescent="0.2">
      <c r="A655366" s="97" t="s">
        <v>100</v>
      </c>
    </row>
    <row r="655367" spans="1:1" x14ac:dyDescent="0.2">
      <c r="A655367" s="97" t="s">
        <v>101</v>
      </c>
    </row>
    <row r="655368" spans="1:1" x14ac:dyDescent="0.2">
      <c r="A655368" s="97" t="s">
        <v>102</v>
      </c>
    </row>
    <row r="655369" spans="1:1" x14ac:dyDescent="0.2">
      <c r="A655369" s="97" t="s">
        <v>103</v>
      </c>
    </row>
    <row r="655370" spans="1:1" x14ac:dyDescent="0.2">
      <c r="A655370" s="97" t="s">
        <v>104</v>
      </c>
    </row>
    <row r="655371" spans="1:1" x14ac:dyDescent="0.2">
      <c r="A655371" s="97" t="s">
        <v>105</v>
      </c>
    </row>
    <row r="655372" spans="1:1" x14ac:dyDescent="0.2">
      <c r="A655372" s="97" t="s">
        <v>106</v>
      </c>
    </row>
    <row r="655373" spans="1:1" x14ac:dyDescent="0.2">
      <c r="A655373" s="97" t="s">
        <v>107</v>
      </c>
    </row>
    <row r="655374" spans="1:1" x14ac:dyDescent="0.2">
      <c r="A655374" s="97" t="s">
        <v>108</v>
      </c>
    </row>
    <row r="655375" spans="1:1" x14ac:dyDescent="0.2">
      <c r="A655375" s="97" t="s">
        <v>109</v>
      </c>
    </row>
    <row r="655376" spans="1:1" x14ac:dyDescent="0.2">
      <c r="A655376" s="97" t="s">
        <v>110</v>
      </c>
    </row>
    <row r="655377" spans="1:1" x14ac:dyDescent="0.2">
      <c r="A655377" s="97" t="s">
        <v>111</v>
      </c>
    </row>
    <row r="655378" spans="1:1" x14ac:dyDescent="0.2">
      <c r="A655378" s="97" t="s">
        <v>112</v>
      </c>
    </row>
    <row r="655379" spans="1:1" x14ac:dyDescent="0.2">
      <c r="A655379" s="97" t="s">
        <v>113</v>
      </c>
    </row>
    <row r="655380" spans="1:1" x14ac:dyDescent="0.2">
      <c r="A655380" s="97" t="s">
        <v>114</v>
      </c>
    </row>
    <row r="655381" spans="1:1" x14ac:dyDescent="0.2">
      <c r="A655381" s="97" t="s">
        <v>115</v>
      </c>
    </row>
    <row r="655382" spans="1:1" x14ac:dyDescent="0.2">
      <c r="A655382" s="97" t="s">
        <v>116</v>
      </c>
    </row>
    <row r="655383" spans="1:1" x14ac:dyDescent="0.2">
      <c r="A655383" s="97" t="s">
        <v>117</v>
      </c>
    </row>
    <row r="655384" spans="1:1" x14ac:dyDescent="0.2">
      <c r="A655384" s="97" t="s">
        <v>118</v>
      </c>
    </row>
    <row r="655385" spans="1:1" x14ac:dyDescent="0.2">
      <c r="A655385" s="97" t="s">
        <v>119</v>
      </c>
    </row>
    <row r="655386" spans="1:1" x14ac:dyDescent="0.2">
      <c r="A655386" s="97" t="s">
        <v>120</v>
      </c>
    </row>
    <row r="655387" spans="1:1" x14ac:dyDescent="0.2">
      <c r="A655387" s="97" t="s">
        <v>121</v>
      </c>
    </row>
    <row r="655388" spans="1:1" x14ac:dyDescent="0.2">
      <c r="A655388" s="97" t="s">
        <v>122</v>
      </c>
    </row>
    <row r="655389" spans="1:1" x14ac:dyDescent="0.2">
      <c r="A655389" s="97" t="s">
        <v>123</v>
      </c>
    </row>
    <row r="655390" spans="1:1" x14ac:dyDescent="0.2">
      <c r="A655390" s="97" t="s">
        <v>124</v>
      </c>
    </row>
    <row r="655391" spans="1:1" x14ac:dyDescent="0.2">
      <c r="A655391" s="97" t="s">
        <v>125</v>
      </c>
    </row>
    <row r="655392" spans="1:1" x14ac:dyDescent="0.2">
      <c r="A655392" s="97" t="s">
        <v>126</v>
      </c>
    </row>
    <row r="655393" spans="1:1" x14ac:dyDescent="0.2">
      <c r="A655393" s="97" t="s">
        <v>127</v>
      </c>
    </row>
    <row r="655394" spans="1:1" x14ac:dyDescent="0.2">
      <c r="A655394" s="97" t="s">
        <v>128</v>
      </c>
    </row>
    <row r="655395" spans="1:1" x14ac:dyDescent="0.2">
      <c r="A655395" s="97" t="s">
        <v>129</v>
      </c>
    </row>
    <row r="655396" spans="1:1" x14ac:dyDescent="0.2">
      <c r="A655396" s="97" t="s">
        <v>130</v>
      </c>
    </row>
    <row r="655397" spans="1:1" x14ac:dyDescent="0.2">
      <c r="A655397" s="97" t="s">
        <v>131</v>
      </c>
    </row>
    <row r="655398" spans="1:1" x14ac:dyDescent="0.2">
      <c r="A655398" s="97" t="s">
        <v>132</v>
      </c>
    </row>
    <row r="655399" spans="1:1" x14ac:dyDescent="0.2">
      <c r="A655399" s="97" t="s">
        <v>133</v>
      </c>
    </row>
    <row r="655400" spans="1:1" x14ac:dyDescent="0.2">
      <c r="A655400" s="97" t="s">
        <v>134</v>
      </c>
    </row>
    <row r="655401" spans="1:1" x14ac:dyDescent="0.2">
      <c r="A655401" s="97" t="s">
        <v>135</v>
      </c>
    </row>
    <row r="655402" spans="1:1" x14ac:dyDescent="0.2">
      <c r="A655402" s="97" t="s">
        <v>136</v>
      </c>
    </row>
    <row r="655403" spans="1:1" x14ac:dyDescent="0.2">
      <c r="A655403" s="97" t="s">
        <v>137</v>
      </c>
    </row>
    <row r="655404" spans="1:1" x14ac:dyDescent="0.2">
      <c r="A655404" s="97" t="s">
        <v>138</v>
      </c>
    </row>
    <row r="655405" spans="1:1" x14ac:dyDescent="0.2">
      <c r="A655405" s="97" t="s">
        <v>139</v>
      </c>
    </row>
    <row r="655406" spans="1:1" x14ac:dyDescent="0.2">
      <c r="A655406" s="97" t="s">
        <v>140</v>
      </c>
    </row>
    <row r="655407" spans="1:1" x14ac:dyDescent="0.2">
      <c r="A655407" s="97" t="s">
        <v>141</v>
      </c>
    </row>
    <row r="655408" spans="1:1" x14ac:dyDescent="0.2">
      <c r="A655408" s="97" t="s">
        <v>142</v>
      </c>
    </row>
    <row r="655409" spans="1:1" x14ac:dyDescent="0.2">
      <c r="A655409" s="97" t="s">
        <v>143</v>
      </c>
    </row>
    <row r="655410" spans="1:1" x14ac:dyDescent="0.2">
      <c r="A655410" s="97" t="s">
        <v>144</v>
      </c>
    </row>
    <row r="655411" spans="1:1" x14ac:dyDescent="0.2">
      <c r="A655411" s="97" t="s">
        <v>145</v>
      </c>
    </row>
    <row r="655412" spans="1:1" x14ac:dyDescent="0.2">
      <c r="A655412" s="97" t="s">
        <v>146</v>
      </c>
    </row>
    <row r="655413" spans="1:1" x14ac:dyDescent="0.2">
      <c r="A655413" s="97" t="s">
        <v>147</v>
      </c>
    </row>
    <row r="655414" spans="1:1" x14ac:dyDescent="0.2">
      <c r="A655414" s="97" t="s">
        <v>148</v>
      </c>
    </row>
    <row r="655415" spans="1:1" x14ac:dyDescent="0.2">
      <c r="A655415" s="97" t="s">
        <v>149</v>
      </c>
    </row>
    <row r="655416" spans="1:1" x14ac:dyDescent="0.2">
      <c r="A655416" s="97" t="s">
        <v>150</v>
      </c>
    </row>
    <row r="655417" spans="1:1" x14ac:dyDescent="0.2">
      <c r="A655417" s="97" t="s">
        <v>151</v>
      </c>
    </row>
    <row r="655418" spans="1:1" x14ac:dyDescent="0.2">
      <c r="A655418" s="97" t="s">
        <v>152</v>
      </c>
    </row>
    <row r="655419" spans="1:1" x14ac:dyDescent="0.2">
      <c r="A655419" s="97" t="s">
        <v>153</v>
      </c>
    </row>
    <row r="655420" spans="1:1" x14ac:dyDescent="0.2">
      <c r="A655420" s="97" t="s">
        <v>154</v>
      </c>
    </row>
    <row r="655421" spans="1:1" x14ac:dyDescent="0.2">
      <c r="A655421" s="97" t="s">
        <v>155</v>
      </c>
    </row>
    <row r="655422" spans="1:1" x14ac:dyDescent="0.2">
      <c r="A655422" s="97" t="s">
        <v>156</v>
      </c>
    </row>
    <row r="655423" spans="1:1" x14ac:dyDescent="0.2">
      <c r="A655423" s="97" t="s">
        <v>157</v>
      </c>
    </row>
    <row r="655424" spans="1:1" x14ac:dyDescent="0.2">
      <c r="A655424" s="97" t="s">
        <v>158</v>
      </c>
    </row>
    <row r="655425" spans="1:1" x14ac:dyDescent="0.2">
      <c r="A655425" s="97" t="s">
        <v>159</v>
      </c>
    </row>
    <row r="655426" spans="1:1" x14ac:dyDescent="0.2">
      <c r="A655426" s="97" t="s">
        <v>160</v>
      </c>
    </row>
    <row r="655427" spans="1:1" x14ac:dyDescent="0.2">
      <c r="A655427" s="97" t="s">
        <v>161</v>
      </c>
    </row>
    <row r="655428" spans="1:1" x14ac:dyDescent="0.2">
      <c r="A655428" s="97" t="s">
        <v>162</v>
      </c>
    </row>
    <row r="655429" spans="1:1" x14ac:dyDescent="0.2">
      <c r="A655429" s="97" t="s">
        <v>163</v>
      </c>
    </row>
    <row r="655430" spans="1:1" x14ac:dyDescent="0.2">
      <c r="A655430" s="97" t="s">
        <v>164</v>
      </c>
    </row>
    <row r="655431" spans="1:1" x14ac:dyDescent="0.2">
      <c r="A655431" s="97" t="s">
        <v>165</v>
      </c>
    </row>
    <row r="655432" spans="1:1" x14ac:dyDescent="0.2">
      <c r="A655432" s="97" t="s">
        <v>166</v>
      </c>
    </row>
    <row r="655433" spans="1:1" x14ac:dyDescent="0.2">
      <c r="A655433" s="97" t="s">
        <v>167</v>
      </c>
    </row>
    <row r="655434" spans="1:1" x14ac:dyDescent="0.2">
      <c r="A655434" s="97" t="s">
        <v>168</v>
      </c>
    </row>
    <row r="655435" spans="1:1" x14ac:dyDescent="0.2">
      <c r="A655435" s="97" t="s">
        <v>169</v>
      </c>
    </row>
    <row r="655436" spans="1:1" x14ac:dyDescent="0.2">
      <c r="A655436" s="97" t="s">
        <v>170</v>
      </c>
    </row>
    <row r="655437" spans="1:1" x14ac:dyDescent="0.2">
      <c r="A655437" s="97" t="s">
        <v>171</v>
      </c>
    </row>
    <row r="655438" spans="1:1" x14ac:dyDescent="0.2">
      <c r="A655438" s="97" t="s">
        <v>172</v>
      </c>
    </row>
    <row r="655439" spans="1:1" x14ac:dyDescent="0.2">
      <c r="A655439" s="97" t="s">
        <v>173</v>
      </c>
    </row>
    <row r="655440" spans="1:1" x14ac:dyDescent="0.2">
      <c r="A655440" s="97" t="s">
        <v>174</v>
      </c>
    </row>
    <row r="655441" spans="1:1" x14ac:dyDescent="0.2">
      <c r="A655441" s="97" t="s">
        <v>175</v>
      </c>
    </row>
    <row r="655442" spans="1:1" x14ac:dyDescent="0.2">
      <c r="A655442" s="97" t="s">
        <v>176</v>
      </c>
    </row>
    <row r="655443" spans="1:1" x14ac:dyDescent="0.2">
      <c r="A655443" s="97" t="s">
        <v>177</v>
      </c>
    </row>
    <row r="655444" spans="1:1" x14ac:dyDescent="0.2">
      <c r="A655444" s="97" t="s">
        <v>178</v>
      </c>
    </row>
    <row r="655445" spans="1:1" x14ac:dyDescent="0.2">
      <c r="A655445" s="97" t="s">
        <v>179</v>
      </c>
    </row>
    <row r="655446" spans="1:1" x14ac:dyDescent="0.2">
      <c r="A655446" s="97" t="s">
        <v>180</v>
      </c>
    </row>
    <row r="655447" spans="1:1" x14ac:dyDescent="0.2">
      <c r="A655447" s="97" t="s">
        <v>181</v>
      </c>
    </row>
    <row r="655448" spans="1:1" x14ac:dyDescent="0.2">
      <c r="A655448" s="97" t="s">
        <v>182</v>
      </c>
    </row>
    <row r="655449" spans="1:1" x14ac:dyDescent="0.2">
      <c r="A655449" s="97" t="s">
        <v>183</v>
      </c>
    </row>
    <row r="671745" spans="1:1" x14ac:dyDescent="0.2">
      <c r="A671745" s="97" t="s">
        <v>95</v>
      </c>
    </row>
    <row r="671746" spans="1:1" x14ac:dyDescent="0.2">
      <c r="A671746" s="97" t="s">
        <v>96</v>
      </c>
    </row>
    <row r="671747" spans="1:1" x14ac:dyDescent="0.2">
      <c r="A671747" s="97" t="s">
        <v>97</v>
      </c>
    </row>
    <row r="671748" spans="1:1" x14ac:dyDescent="0.2">
      <c r="A671748" s="97" t="s">
        <v>98</v>
      </c>
    </row>
    <row r="671749" spans="1:1" x14ac:dyDescent="0.2">
      <c r="A671749" s="97" t="s">
        <v>99</v>
      </c>
    </row>
    <row r="671750" spans="1:1" x14ac:dyDescent="0.2">
      <c r="A671750" s="97" t="s">
        <v>100</v>
      </c>
    </row>
    <row r="671751" spans="1:1" x14ac:dyDescent="0.2">
      <c r="A671751" s="97" t="s">
        <v>101</v>
      </c>
    </row>
    <row r="671752" spans="1:1" x14ac:dyDescent="0.2">
      <c r="A671752" s="97" t="s">
        <v>102</v>
      </c>
    </row>
    <row r="671753" spans="1:1" x14ac:dyDescent="0.2">
      <c r="A671753" s="97" t="s">
        <v>103</v>
      </c>
    </row>
    <row r="671754" spans="1:1" x14ac:dyDescent="0.2">
      <c r="A671754" s="97" t="s">
        <v>104</v>
      </c>
    </row>
    <row r="671755" spans="1:1" x14ac:dyDescent="0.2">
      <c r="A671755" s="97" t="s">
        <v>105</v>
      </c>
    </row>
    <row r="671756" spans="1:1" x14ac:dyDescent="0.2">
      <c r="A671756" s="97" t="s">
        <v>106</v>
      </c>
    </row>
    <row r="671757" spans="1:1" x14ac:dyDescent="0.2">
      <c r="A671757" s="97" t="s">
        <v>107</v>
      </c>
    </row>
    <row r="671758" spans="1:1" x14ac:dyDescent="0.2">
      <c r="A671758" s="97" t="s">
        <v>108</v>
      </c>
    </row>
    <row r="671759" spans="1:1" x14ac:dyDescent="0.2">
      <c r="A671759" s="97" t="s">
        <v>109</v>
      </c>
    </row>
    <row r="671760" spans="1:1" x14ac:dyDescent="0.2">
      <c r="A671760" s="97" t="s">
        <v>110</v>
      </c>
    </row>
    <row r="671761" spans="1:1" x14ac:dyDescent="0.2">
      <c r="A671761" s="97" t="s">
        <v>111</v>
      </c>
    </row>
    <row r="671762" spans="1:1" x14ac:dyDescent="0.2">
      <c r="A671762" s="97" t="s">
        <v>112</v>
      </c>
    </row>
    <row r="671763" spans="1:1" x14ac:dyDescent="0.2">
      <c r="A671763" s="97" t="s">
        <v>113</v>
      </c>
    </row>
    <row r="671764" spans="1:1" x14ac:dyDescent="0.2">
      <c r="A671764" s="97" t="s">
        <v>114</v>
      </c>
    </row>
    <row r="671765" spans="1:1" x14ac:dyDescent="0.2">
      <c r="A671765" s="97" t="s">
        <v>115</v>
      </c>
    </row>
    <row r="671766" spans="1:1" x14ac:dyDescent="0.2">
      <c r="A671766" s="97" t="s">
        <v>116</v>
      </c>
    </row>
    <row r="671767" spans="1:1" x14ac:dyDescent="0.2">
      <c r="A671767" s="97" t="s">
        <v>117</v>
      </c>
    </row>
    <row r="671768" spans="1:1" x14ac:dyDescent="0.2">
      <c r="A671768" s="97" t="s">
        <v>118</v>
      </c>
    </row>
    <row r="671769" spans="1:1" x14ac:dyDescent="0.2">
      <c r="A671769" s="97" t="s">
        <v>119</v>
      </c>
    </row>
    <row r="671770" spans="1:1" x14ac:dyDescent="0.2">
      <c r="A671770" s="97" t="s">
        <v>120</v>
      </c>
    </row>
    <row r="671771" spans="1:1" x14ac:dyDescent="0.2">
      <c r="A671771" s="97" t="s">
        <v>121</v>
      </c>
    </row>
    <row r="671772" spans="1:1" x14ac:dyDescent="0.2">
      <c r="A671772" s="97" t="s">
        <v>122</v>
      </c>
    </row>
    <row r="671773" spans="1:1" x14ac:dyDescent="0.2">
      <c r="A671773" s="97" t="s">
        <v>123</v>
      </c>
    </row>
    <row r="671774" spans="1:1" x14ac:dyDescent="0.2">
      <c r="A671774" s="97" t="s">
        <v>124</v>
      </c>
    </row>
    <row r="671775" spans="1:1" x14ac:dyDescent="0.2">
      <c r="A671775" s="97" t="s">
        <v>125</v>
      </c>
    </row>
    <row r="671776" spans="1:1" x14ac:dyDescent="0.2">
      <c r="A671776" s="97" t="s">
        <v>126</v>
      </c>
    </row>
    <row r="671777" spans="1:1" x14ac:dyDescent="0.2">
      <c r="A671777" s="97" t="s">
        <v>127</v>
      </c>
    </row>
    <row r="671778" spans="1:1" x14ac:dyDescent="0.2">
      <c r="A671778" s="97" t="s">
        <v>128</v>
      </c>
    </row>
    <row r="671779" spans="1:1" x14ac:dyDescent="0.2">
      <c r="A671779" s="97" t="s">
        <v>129</v>
      </c>
    </row>
    <row r="671780" spans="1:1" x14ac:dyDescent="0.2">
      <c r="A671780" s="97" t="s">
        <v>130</v>
      </c>
    </row>
    <row r="671781" spans="1:1" x14ac:dyDescent="0.2">
      <c r="A671781" s="97" t="s">
        <v>131</v>
      </c>
    </row>
    <row r="671782" spans="1:1" x14ac:dyDescent="0.2">
      <c r="A671782" s="97" t="s">
        <v>132</v>
      </c>
    </row>
    <row r="671783" spans="1:1" x14ac:dyDescent="0.2">
      <c r="A671783" s="97" t="s">
        <v>133</v>
      </c>
    </row>
    <row r="671784" spans="1:1" x14ac:dyDescent="0.2">
      <c r="A671784" s="97" t="s">
        <v>134</v>
      </c>
    </row>
    <row r="671785" spans="1:1" x14ac:dyDescent="0.2">
      <c r="A671785" s="97" t="s">
        <v>135</v>
      </c>
    </row>
    <row r="671786" spans="1:1" x14ac:dyDescent="0.2">
      <c r="A671786" s="97" t="s">
        <v>136</v>
      </c>
    </row>
    <row r="671787" spans="1:1" x14ac:dyDescent="0.2">
      <c r="A671787" s="97" t="s">
        <v>137</v>
      </c>
    </row>
    <row r="671788" spans="1:1" x14ac:dyDescent="0.2">
      <c r="A671788" s="97" t="s">
        <v>138</v>
      </c>
    </row>
    <row r="671789" spans="1:1" x14ac:dyDescent="0.2">
      <c r="A671789" s="97" t="s">
        <v>139</v>
      </c>
    </row>
    <row r="671790" spans="1:1" x14ac:dyDescent="0.2">
      <c r="A671790" s="97" t="s">
        <v>140</v>
      </c>
    </row>
    <row r="671791" spans="1:1" x14ac:dyDescent="0.2">
      <c r="A671791" s="97" t="s">
        <v>141</v>
      </c>
    </row>
    <row r="671792" spans="1:1" x14ac:dyDescent="0.2">
      <c r="A671792" s="97" t="s">
        <v>142</v>
      </c>
    </row>
    <row r="671793" spans="1:1" x14ac:dyDescent="0.2">
      <c r="A671793" s="97" t="s">
        <v>143</v>
      </c>
    </row>
    <row r="671794" spans="1:1" x14ac:dyDescent="0.2">
      <c r="A671794" s="97" t="s">
        <v>144</v>
      </c>
    </row>
    <row r="671795" spans="1:1" x14ac:dyDescent="0.2">
      <c r="A671795" s="97" t="s">
        <v>145</v>
      </c>
    </row>
    <row r="671796" spans="1:1" x14ac:dyDescent="0.2">
      <c r="A671796" s="97" t="s">
        <v>146</v>
      </c>
    </row>
    <row r="671797" spans="1:1" x14ac:dyDescent="0.2">
      <c r="A671797" s="97" t="s">
        <v>147</v>
      </c>
    </row>
    <row r="671798" spans="1:1" x14ac:dyDescent="0.2">
      <c r="A671798" s="97" t="s">
        <v>148</v>
      </c>
    </row>
    <row r="671799" spans="1:1" x14ac:dyDescent="0.2">
      <c r="A671799" s="97" t="s">
        <v>149</v>
      </c>
    </row>
    <row r="671800" spans="1:1" x14ac:dyDescent="0.2">
      <c r="A671800" s="97" t="s">
        <v>150</v>
      </c>
    </row>
    <row r="671801" spans="1:1" x14ac:dyDescent="0.2">
      <c r="A671801" s="97" t="s">
        <v>151</v>
      </c>
    </row>
    <row r="671802" spans="1:1" x14ac:dyDescent="0.2">
      <c r="A671802" s="97" t="s">
        <v>152</v>
      </c>
    </row>
    <row r="671803" spans="1:1" x14ac:dyDescent="0.2">
      <c r="A671803" s="97" t="s">
        <v>153</v>
      </c>
    </row>
    <row r="671804" spans="1:1" x14ac:dyDescent="0.2">
      <c r="A671804" s="97" t="s">
        <v>154</v>
      </c>
    </row>
    <row r="671805" spans="1:1" x14ac:dyDescent="0.2">
      <c r="A671805" s="97" t="s">
        <v>155</v>
      </c>
    </row>
    <row r="671806" spans="1:1" x14ac:dyDescent="0.2">
      <c r="A671806" s="97" t="s">
        <v>156</v>
      </c>
    </row>
    <row r="671807" spans="1:1" x14ac:dyDescent="0.2">
      <c r="A671807" s="97" t="s">
        <v>157</v>
      </c>
    </row>
    <row r="671808" spans="1:1" x14ac:dyDescent="0.2">
      <c r="A671808" s="97" t="s">
        <v>158</v>
      </c>
    </row>
    <row r="671809" spans="1:1" x14ac:dyDescent="0.2">
      <c r="A671809" s="97" t="s">
        <v>159</v>
      </c>
    </row>
    <row r="671810" spans="1:1" x14ac:dyDescent="0.2">
      <c r="A671810" s="97" t="s">
        <v>160</v>
      </c>
    </row>
    <row r="671811" spans="1:1" x14ac:dyDescent="0.2">
      <c r="A671811" s="97" t="s">
        <v>161</v>
      </c>
    </row>
    <row r="671812" spans="1:1" x14ac:dyDescent="0.2">
      <c r="A671812" s="97" t="s">
        <v>162</v>
      </c>
    </row>
    <row r="671813" spans="1:1" x14ac:dyDescent="0.2">
      <c r="A671813" s="97" t="s">
        <v>163</v>
      </c>
    </row>
    <row r="671814" spans="1:1" x14ac:dyDescent="0.2">
      <c r="A671814" s="97" t="s">
        <v>164</v>
      </c>
    </row>
    <row r="671815" spans="1:1" x14ac:dyDescent="0.2">
      <c r="A671815" s="97" t="s">
        <v>165</v>
      </c>
    </row>
    <row r="671816" spans="1:1" x14ac:dyDescent="0.2">
      <c r="A671816" s="97" t="s">
        <v>166</v>
      </c>
    </row>
    <row r="671817" spans="1:1" x14ac:dyDescent="0.2">
      <c r="A671817" s="97" t="s">
        <v>167</v>
      </c>
    </row>
    <row r="671818" spans="1:1" x14ac:dyDescent="0.2">
      <c r="A671818" s="97" t="s">
        <v>168</v>
      </c>
    </row>
    <row r="671819" spans="1:1" x14ac:dyDescent="0.2">
      <c r="A671819" s="97" t="s">
        <v>169</v>
      </c>
    </row>
    <row r="671820" spans="1:1" x14ac:dyDescent="0.2">
      <c r="A671820" s="97" t="s">
        <v>170</v>
      </c>
    </row>
    <row r="671821" spans="1:1" x14ac:dyDescent="0.2">
      <c r="A671821" s="97" t="s">
        <v>171</v>
      </c>
    </row>
    <row r="671822" spans="1:1" x14ac:dyDescent="0.2">
      <c r="A671822" s="97" t="s">
        <v>172</v>
      </c>
    </row>
    <row r="671823" spans="1:1" x14ac:dyDescent="0.2">
      <c r="A671823" s="97" t="s">
        <v>173</v>
      </c>
    </row>
    <row r="671824" spans="1:1" x14ac:dyDescent="0.2">
      <c r="A671824" s="97" t="s">
        <v>174</v>
      </c>
    </row>
    <row r="671825" spans="1:1" x14ac:dyDescent="0.2">
      <c r="A671825" s="97" t="s">
        <v>175</v>
      </c>
    </row>
    <row r="671826" spans="1:1" x14ac:dyDescent="0.2">
      <c r="A671826" s="97" t="s">
        <v>176</v>
      </c>
    </row>
    <row r="671827" spans="1:1" x14ac:dyDescent="0.2">
      <c r="A671827" s="97" t="s">
        <v>177</v>
      </c>
    </row>
    <row r="671828" spans="1:1" x14ac:dyDescent="0.2">
      <c r="A671828" s="97" t="s">
        <v>178</v>
      </c>
    </row>
    <row r="671829" spans="1:1" x14ac:dyDescent="0.2">
      <c r="A671829" s="97" t="s">
        <v>179</v>
      </c>
    </row>
    <row r="671830" spans="1:1" x14ac:dyDescent="0.2">
      <c r="A671830" s="97" t="s">
        <v>180</v>
      </c>
    </row>
    <row r="671831" spans="1:1" x14ac:dyDescent="0.2">
      <c r="A671831" s="97" t="s">
        <v>181</v>
      </c>
    </row>
    <row r="671832" spans="1:1" x14ac:dyDescent="0.2">
      <c r="A671832" s="97" t="s">
        <v>182</v>
      </c>
    </row>
    <row r="671833" spans="1:1" x14ac:dyDescent="0.2">
      <c r="A671833" s="97" t="s">
        <v>183</v>
      </c>
    </row>
    <row r="688129" spans="1:1" x14ac:dyDescent="0.2">
      <c r="A688129" s="97" t="s">
        <v>95</v>
      </c>
    </row>
    <row r="688130" spans="1:1" x14ac:dyDescent="0.2">
      <c r="A688130" s="97" t="s">
        <v>96</v>
      </c>
    </row>
    <row r="688131" spans="1:1" x14ac:dyDescent="0.2">
      <c r="A688131" s="97" t="s">
        <v>97</v>
      </c>
    </row>
    <row r="688132" spans="1:1" x14ac:dyDescent="0.2">
      <c r="A688132" s="97" t="s">
        <v>98</v>
      </c>
    </row>
    <row r="688133" spans="1:1" x14ac:dyDescent="0.2">
      <c r="A688133" s="97" t="s">
        <v>99</v>
      </c>
    </row>
    <row r="688134" spans="1:1" x14ac:dyDescent="0.2">
      <c r="A688134" s="97" t="s">
        <v>100</v>
      </c>
    </row>
    <row r="688135" spans="1:1" x14ac:dyDescent="0.2">
      <c r="A688135" s="97" t="s">
        <v>101</v>
      </c>
    </row>
    <row r="688136" spans="1:1" x14ac:dyDescent="0.2">
      <c r="A688136" s="97" t="s">
        <v>102</v>
      </c>
    </row>
    <row r="688137" spans="1:1" x14ac:dyDescent="0.2">
      <c r="A688137" s="97" t="s">
        <v>103</v>
      </c>
    </row>
    <row r="688138" spans="1:1" x14ac:dyDescent="0.2">
      <c r="A688138" s="97" t="s">
        <v>104</v>
      </c>
    </row>
    <row r="688139" spans="1:1" x14ac:dyDescent="0.2">
      <c r="A688139" s="97" t="s">
        <v>105</v>
      </c>
    </row>
    <row r="688140" spans="1:1" x14ac:dyDescent="0.2">
      <c r="A688140" s="97" t="s">
        <v>106</v>
      </c>
    </row>
    <row r="688141" spans="1:1" x14ac:dyDescent="0.2">
      <c r="A688141" s="97" t="s">
        <v>107</v>
      </c>
    </row>
    <row r="688142" spans="1:1" x14ac:dyDescent="0.2">
      <c r="A688142" s="97" t="s">
        <v>108</v>
      </c>
    </row>
    <row r="688143" spans="1:1" x14ac:dyDescent="0.2">
      <c r="A688143" s="97" t="s">
        <v>109</v>
      </c>
    </row>
    <row r="688144" spans="1:1" x14ac:dyDescent="0.2">
      <c r="A688144" s="97" t="s">
        <v>110</v>
      </c>
    </row>
    <row r="688145" spans="1:1" x14ac:dyDescent="0.2">
      <c r="A688145" s="97" t="s">
        <v>111</v>
      </c>
    </row>
    <row r="688146" spans="1:1" x14ac:dyDescent="0.2">
      <c r="A688146" s="97" t="s">
        <v>112</v>
      </c>
    </row>
    <row r="688147" spans="1:1" x14ac:dyDescent="0.2">
      <c r="A688147" s="97" t="s">
        <v>113</v>
      </c>
    </row>
    <row r="688148" spans="1:1" x14ac:dyDescent="0.2">
      <c r="A688148" s="97" t="s">
        <v>114</v>
      </c>
    </row>
    <row r="688149" spans="1:1" x14ac:dyDescent="0.2">
      <c r="A688149" s="97" t="s">
        <v>115</v>
      </c>
    </row>
    <row r="688150" spans="1:1" x14ac:dyDescent="0.2">
      <c r="A688150" s="97" t="s">
        <v>116</v>
      </c>
    </row>
    <row r="688151" spans="1:1" x14ac:dyDescent="0.2">
      <c r="A688151" s="97" t="s">
        <v>117</v>
      </c>
    </row>
    <row r="688152" spans="1:1" x14ac:dyDescent="0.2">
      <c r="A688152" s="97" t="s">
        <v>118</v>
      </c>
    </row>
    <row r="688153" spans="1:1" x14ac:dyDescent="0.2">
      <c r="A688153" s="97" t="s">
        <v>119</v>
      </c>
    </row>
    <row r="688154" spans="1:1" x14ac:dyDescent="0.2">
      <c r="A688154" s="97" t="s">
        <v>120</v>
      </c>
    </row>
    <row r="688155" spans="1:1" x14ac:dyDescent="0.2">
      <c r="A688155" s="97" t="s">
        <v>121</v>
      </c>
    </row>
    <row r="688156" spans="1:1" x14ac:dyDescent="0.2">
      <c r="A688156" s="97" t="s">
        <v>122</v>
      </c>
    </row>
    <row r="688157" spans="1:1" x14ac:dyDescent="0.2">
      <c r="A688157" s="97" t="s">
        <v>123</v>
      </c>
    </row>
    <row r="688158" spans="1:1" x14ac:dyDescent="0.2">
      <c r="A688158" s="97" t="s">
        <v>124</v>
      </c>
    </row>
    <row r="688159" spans="1:1" x14ac:dyDescent="0.2">
      <c r="A688159" s="97" t="s">
        <v>125</v>
      </c>
    </row>
    <row r="688160" spans="1:1" x14ac:dyDescent="0.2">
      <c r="A688160" s="97" t="s">
        <v>126</v>
      </c>
    </row>
    <row r="688161" spans="1:1" x14ac:dyDescent="0.2">
      <c r="A688161" s="97" t="s">
        <v>127</v>
      </c>
    </row>
    <row r="688162" spans="1:1" x14ac:dyDescent="0.2">
      <c r="A688162" s="97" t="s">
        <v>128</v>
      </c>
    </row>
    <row r="688163" spans="1:1" x14ac:dyDescent="0.2">
      <c r="A688163" s="97" t="s">
        <v>129</v>
      </c>
    </row>
    <row r="688164" spans="1:1" x14ac:dyDescent="0.2">
      <c r="A688164" s="97" t="s">
        <v>130</v>
      </c>
    </row>
    <row r="688165" spans="1:1" x14ac:dyDescent="0.2">
      <c r="A688165" s="97" t="s">
        <v>131</v>
      </c>
    </row>
    <row r="688166" spans="1:1" x14ac:dyDescent="0.2">
      <c r="A688166" s="97" t="s">
        <v>132</v>
      </c>
    </row>
    <row r="688167" spans="1:1" x14ac:dyDescent="0.2">
      <c r="A688167" s="97" t="s">
        <v>133</v>
      </c>
    </row>
    <row r="688168" spans="1:1" x14ac:dyDescent="0.2">
      <c r="A688168" s="97" t="s">
        <v>134</v>
      </c>
    </row>
    <row r="688169" spans="1:1" x14ac:dyDescent="0.2">
      <c r="A688169" s="97" t="s">
        <v>135</v>
      </c>
    </row>
    <row r="688170" spans="1:1" x14ac:dyDescent="0.2">
      <c r="A688170" s="97" t="s">
        <v>136</v>
      </c>
    </row>
    <row r="688171" spans="1:1" x14ac:dyDescent="0.2">
      <c r="A688171" s="97" t="s">
        <v>137</v>
      </c>
    </row>
    <row r="688172" spans="1:1" x14ac:dyDescent="0.2">
      <c r="A688172" s="97" t="s">
        <v>138</v>
      </c>
    </row>
    <row r="688173" spans="1:1" x14ac:dyDescent="0.2">
      <c r="A688173" s="97" t="s">
        <v>139</v>
      </c>
    </row>
    <row r="688174" spans="1:1" x14ac:dyDescent="0.2">
      <c r="A688174" s="97" t="s">
        <v>140</v>
      </c>
    </row>
    <row r="688175" spans="1:1" x14ac:dyDescent="0.2">
      <c r="A688175" s="97" t="s">
        <v>141</v>
      </c>
    </row>
    <row r="688176" spans="1:1" x14ac:dyDescent="0.2">
      <c r="A688176" s="97" t="s">
        <v>142</v>
      </c>
    </row>
    <row r="688177" spans="1:1" x14ac:dyDescent="0.2">
      <c r="A688177" s="97" t="s">
        <v>143</v>
      </c>
    </row>
    <row r="688178" spans="1:1" x14ac:dyDescent="0.2">
      <c r="A688178" s="97" t="s">
        <v>144</v>
      </c>
    </row>
    <row r="688179" spans="1:1" x14ac:dyDescent="0.2">
      <c r="A688179" s="97" t="s">
        <v>145</v>
      </c>
    </row>
    <row r="688180" spans="1:1" x14ac:dyDescent="0.2">
      <c r="A688180" s="97" t="s">
        <v>146</v>
      </c>
    </row>
    <row r="688181" spans="1:1" x14ac:dyDescent="0.2">
      <c r="A688181" s="97" t="s">
        <v>147</v>
      </c>
    </row>
    <row r="688182" spans="1:1" x14ac:dyDescent="0.2">
      <c r="A688182" s="97" t="s">
        <v>148</v>
      </c>
    </row>
    <row r="688183" spans="1:1" x14ac:dyDescent="0.2">
      <c r="A688183" s="97" t="s">
        <v>149</v>
      </c>
    </row>
    <row r="688184" spans="1:1" x14ac:dyDescent="0.2">
      <c r="A688184" s="97" t="s">
        <v>150</v>
      </c>
    </row>
    <row r="688185" spans="1:1" x14ac:dyDescent="0.2">
      <c r="A688185" s="97" t="s">
        <v>151</v>
      </c>
    </row>
    <row r="688186" spans="1:1" x14ac:dyDescent="0.2">
      <c r="A688186" s="97" t="s">
        <v>152</v>
      </c>
    </row>
    <row r="688187" spans="1:1" x14ac:dyDescent="0.2">
      <c r="A688187" s="97" t="s">
        <v>153</v>
      </c>
    </row>
    <row r="688188" spans="1:1" x14ac:dyDescent="0.2">
      <c r="A688188" s="97" t="s">
        <v>154</v>
      </c>
    </row>
    <row r="688189" spans="1:1" x14ac:dyDescent="0.2">
      <c r="A688189" s="97" t="s">
        <v>155</v>
      </c>
    </row>
    <row r="688190" spans="1:1" x14ac:dyDescent="0.2">
      <c r="A688190" s="97" t="s">
        <v>156</v>
      </c>
    </row>
    <row r="688191" spans="1:1" x14ac:dyDescent="0.2">
      <c r="A688191" s="97" t="s">
        <v>157</v>
      </c>
    </row>
    <row r="688192" spans="1:1" x14ac:dyDescent="0.2">
      <c r="A688192" s="97" t="s">
        <v>158</v>
      </c>
    </row>
    <row r="688193" spans="1:1" x14ac:dyDescent="0.2">
      <c r="A688193" s="97" t="s">
        <v>159</v>
      </c>
    </row>
    <row r="688194" spans="1:1" x14ac:dyDescent="0.2">
      <c r="A688194" s="97" t="s">
        <v>160</v>
      </c>
    </row>
    <row r="688195" spans="1:1" x14ac:dyDescent="0.2">
      <c r="A688195" s="97" t="s">
        <v>161</v>
      </c>
    </row>
    <row r="688196" spans="1:1" x14ac:dyDescent="0.2">
      <c r="A688196" s="97" t="s">
        <v>162</v>
      </c>
    </row>
    <row r="688197" spans="1:1" x14ac:dyDescent="0.2">
      <c r="A688197" s="97" t="s">
        <v>163</v>
      </c>
    </row>
    <row r="688198" spans="1:1" x14ac:dyDescent="0.2">
      <c r="A688198" s="97" t="s">
        <v>164</v>
      </c>
    </row>
    <row r="688199" spans="1:1" x14ac:dyDescent="0.2">
      <c r="A688199" s="97" t="s">
        <v>165</v>
      </c>
    </row>
    <row r="688200" spans="1:1" x14ac:dyDescent="0.2">
      <c r="A688200" s="97" t="s">
        <v>166</v>
      </c>
    </row>
    <row r="688201" spans="1:1" x14ac:dyDescent="0.2">
      <c r="A688201" s="97" t="s">
        <v>167</v>
      </c>
    </row>
    <row r="688202" spans="1:1" x14ac:dyDescent="0.2">
      <c r="A688202" s="97" t="s">
        <v>168</v>
      </c>
    </row>
    <row r="688203" spans="1:1" x14ac:dyDescent="0.2">
      <c r="A688203" s="97" t="s">
        <v>169</v>
      </c>
    </row>
    <row r="688204" spans="1:1" x14ac:dyDescent="0.2">
      <c r="A688204" s="97" t="s">
        <v>170</v>
      </c>
    </row>
    <row r="688205" spans="1:1" x14ac:dyDescent="0.2">
      <c r="A688205" s="97" t="s">
        <v>171</v>
      </c>
    </row>
    <row r="688206" spans="1:1" x14ac:dyDescent="0.2">
      <c r="A688206" s="97" t="s">
        <v>172</v>
      </c>
    </row>
    <row r="688207" spans="1:1" x14ac:dyDescent="0.2">
      <c r="A688207" s="97" t="s">
        <v>173</v>
      </c>
    </row>
    <row r="688208" spans="1:1" x14ac:dyDescent="0.2">
      <c r="A688208" s="97" t="s">
        <v>174</v>
      </c>
    </row>
    <row r="688209" spans="1:1" x14ac:dyDescent="0.2">
      <c r="A688209" s="97" t="s">
        <v>175</v>
      </c>
    </row>
    <row r="688210" spans="1:1" x14ac:dyDescent="0.2">
      <c r="A688210" s="97" t="s">
        <v>176</v>
      </c>
    </row>
    <row r="688211" spans="1:1" x14ac:dyDescent="0.2">
      <c r="A688211" s="97" t="s">
        <v>177</v>
      </c>
    </row>
    <row r="688212" spans="1:1" x14ac:dyDescent="0.2">
      <c r="A688212" s="97" t="s">
        <v>178</v>
      </c>
    </row>
    <row r="688213" spans="1:1" x14ac:dyDescent="0.2">
      <c r="A688213" s="97" t="s">
        <v>179</v>
      </c>
    </row>
    <row r="688214" spans="1:1" x14ac:dyDescent="0.2">
      <c r="A688214" s="97" t="s">
        <v>180</v>
      </c>
    </row>
    <row r="688215" spans="1:1" x14ac:dyDescent="0.2">
      <c r="A688215" s="97" t="s">
        <v>181</v>
      </c>
    </row>
    <row r="688216" spans="1:1" x14ac:dyDescent="0.2">
      <c r="A688216" s="97" t="s">
        <v>182</v>
      </c>
    </row>
    <row r="688217" spans="1:1" x14ac:dyDescent="0.2">
      <c r="A688217" s="97" t="s">
        <v>183</v>
      </c>
    </row>
    <row r="704513" spans="1:1" x14ac:dyDescent="0.2">
      <c r="A704513" s="97" t="s">
        <v>95</v>
      </c>
    </row>
    <row r="704514" spans="1:1" x14ac:dyDescent="0.2">
      <c r="A704514" s="97" t="s">
        <v>96</v>
      </c>
    </row>
    <row r="704515" spans="1:1" x14ac:dyDescent="0.2">
      <c r="A704515" s="97" t="s">
        <v>97</v>
      </c>
    </row>
    <row r="704516" spans="1:1" x14ac:dyDescent="0.2">
      <c r="A704516" s="97" t="s">
        <v>98</v>
      </c>
    </row>
    <row r="704517" spans="1:1" x14ac:dyDescent="0.2">
      <c r="A704517" s="97" t="s">
        <v>99</v>
      </c>
    </row>
    <row r="704518" spans="1:1" x14ac:dyDescent="0.2">
      <c r="A704518" s="97" t="s">
        <v>100</v>
      </c>
    </row>
    <row r="704519" spans="1:1" x14ac:dyDescent="0.2">
      <c r="A704519" s="97" t="s">
        <v>101</v>
      </c>
    </row>
    <row r="704520" spans="1:1" x14ac:dyDescent="0.2">
      <c r="A704520" s="97" t="s">
        <v>102</v>
      </c>
    </row>
    <row r="704521" spans="1:1" x14ac:dyDescent="0.2">
      <c r="A704521" s="97" t="s">
        <v>103</v>
      </c>
    </row>
    <row r="704522" spans="1:1" x14ac:dyDescent="0.2">
      <c r="A704522" s="97" t="s">
        <v>104</v>
      </c>
    </row>
    <row r="704523" spans="1:1" x14ac:dyDescent="0.2">
      <c r="A704523" s="97" t="s">
        <v>105</v>
      </c>
    </row>
    <row r="704524" spans="1:1" x14ac:dyDescent="0.2">
      <c r="A704524" s="97" t="s">
        <v>106</v>
      </c>
    </row>
    <row r="704525" spans="1:1" x14ac:dyDescent="0.2">
      <c r="A704525" s="97" t="s">
        <v>107</v>
      </c>
    </row>
    <row r="704526" spans="1:1" x14ac:dyDescent="0.2">
      <c r="A704526" s="97" t="s">
        <v>108</v>
      </c>
    </row>
    <row r="704527" spans="1:1" x14ac:dyDescent="0.2">
      <c r="A704527" s="97" t="s">
        <v>109</v>
      </c>
    </row>
    <row r="704528" spans="1:1" x14ac:dyDescent="0.2">
      <c r="A704528" s="97" t="s">
        <v>110</v>
      </c>
    </row>
    <row r="704529" spans="1:1" x14ac:dyDescent="0.2">
      <c r="A704529" s="97" t="s">
        <v>111</v>
      </c>
    </row>
    <row r="704530" spans="1:1" x14ac:dyDescent="0.2">
      <c r="A704530" s="97" t="s">
        <v>112</v>
      </c>
    </row>
    <row r="704531" spans="1:1" x14ac:dyDescent="0.2">
      <c r="A704531" s="97" t="s">
        <v>113</v>
      </c>
    </row>
    <row r="704532" spans="1:1" x14ac:dyDescent="0.2">
      <c r="A704532" s="97" t="s">
        <v>114</v>
      </c>
    </row>
    <row r="704533" spans="1:1" x14ac:dyDescent="0.2">
      <c r="A704533" s="97" t="s">
        <v>115</v>
      </c>
    </row>
    <row r="704534" spans="1:1" x14ac:dyDescent="0.2">
      <c r="A704534" s="97" t="s">
        <v>116</v>
      </c>
    </row>
    <row r="704535" spans="1:1" x14ac:dyDescent="0.2">
      <c r="A704535" s="97" t="s">
        <v>117</v>
      </c>
    </row>
    <row r="704536" spans="1:1" x14ac:dyDescent="0.2">
      <c r="A704536" s="97" t="s">
        <v>118</v>
      </c>
    </row>
    <row r="704537" spans="1:1" x14ac:dyDescent="0.2">
      <c r="A704537" s="97" t="s">
        <v>119</v>
      </c>
    </row>
    <row r="704538" spans="1:1" x14ac:dyDescent="0.2">
      <c r="A704538" s="97" t="s">
        <v>120</v>
      </c>
    </row>
    <row r="704539" spans="1:1" x14ac:dyDescent="0.2">
      <c r="A704539" s="97" t="s">
        <v>121</v>
      </c>
    </row>
    <row r="704540" spans="1:1" x14ac:dyDescent="0.2">
      <c r="A704540" s="97" t="s">
        <v>122</v>
      </c>
    </row>
    <row r="704541" spans="1:1" x14ac:dyDescent="0.2">
      <c r="A704541" s="97" t="s">
        <v>123</v>
      </c>
    </row>
    <row r="704542" spans="1:1" x14ac:dyDescent="0.2">
      <c r="A704542" s="97" t="s">
        <v>124</v>
      </c>
    </row>
    <row r="704543" spans="1:1" x14ac:dyDescent="0.2">
      <c r="A704543" s="97" t="s">
        <v>125</v>
      </c>
    </row>
    <row r="704544" spans="1:1" x14ac:dyDescent="0.2">
      <c r="A704544" s="97" t="s">
        <v>126</v>
      </c>
    </row>
    <row r="704545" spans="1:1" x14ac:dyDescent="0.2">
      <c r="A704545" s="97" t="s">
        <v>127</v>
      </c>
    </row>
    <row r="704546" spans="1:1" x14ac:dyDescent="0.2">
      <c r="A704546" s="97" t="s">
        <v>128</v>
      </c>
    </row>
    <row r="704547" spans="1:1" x14ac:dyDescent="0.2">
      <c r="A704547" s="97" t="s">
        <v>129</v>
      </c>
    </row>
    <row r="704548" spans="1:1" x14ac:dyDescent="0.2">
      <c r="A704548" s="97" t="s">
        <v>130</v>
      </c>
    </row>
    <row r="704549" spans="1:1" x14ac:dyDescent="0.2">
      <c r="A704549" s="97" t="s">
        <v>131</v>
      </c>
    </row>
    <row r="704550" spans="1:1" x14ac:dyDescent="0.2">
      <c r="A704550" s="97" t="s">
        <v>132</v>
      </c>
    </row>
    <row r="704551" spans="1:1" x14ac:dyDescent="0.2">
      <c r="A704551" s="97" t="s">
        <v>133</v>
      </c>
    </row>
    <row r="704552" spans="1:1" x14ac:dyDescent="0.2">
      <c r="A704552" s="97" t="s">
        <v>134</v>
      </c>
    </row>
    <row r="704553" spans="1:1" x14ac:dyDescent="0.2">
      <c r="A704553" s="97" t="s">
        <v>135</v>
      </c>
    </row>
    <row r="704554" spans="1:1" x14ac:dyDescent="0.2">
      <c r="A704554" s="97" t="s">
        <v>136</v>
      </c>
    </row>
    <row r="704555" spans="1:1" x14ac:dyDescent="0.2">
      <c r="A704555" s="97" t="s">
        <v>137</v>
      </c>
    </row>
    <row r="704556" spans="1:1" x14ac:dyDescent="0.2">
      <c r="A704556" s="97" t="s">
        <v>138</v>
      </c>
    </row>
    <row r="704557" spans="1:1" x14ac:dyDescent="0.2">
      <c r="A704557" s="97" t="s">
        <v>139</v>
      </c>
    </row>
    <row r="704558" spans="1:1" x14ac:dyDescent="0.2">
      <c r="A704558" s="97" t="s">
        <v>140</v>
      </c>
    </row>
    <row r="704559" spans="1:1" x14ac:dyDescent="0.2">
      <c r="A704559" s="97" t="s">
        <v>141</v>
      </c>
    </row>
    <row r="704560" spans="1:1" x14ac:dyDescent="0.2">
      <c r="A704560" s="97" t="s">
        <v>142</v>
      </c>
    </row>
    <row r="704561" spans="1:1" x14ac:dyDescent="0.2">
      <c r="A704561" s="97" t="s">
        <v>143</v>
      </c>
    </row>
    <row r="704562" spans="1:1" x14ac:dyDescent="0.2">
      <c r="A704562" s="97" t="s">
        <v>144</v>
      </c>
    </row>
    <row r="704563" spans="1:1" x14ac:dyDescent="0.2">
      <c r="A704563" s="97" t="s">
        <v>145</v>
      </c>
    </row>
    <row r="704564" spans="1:1" x14ac:dyDescent="0.2">
      <c r="A704564" s="97" t="s">
        <v>146</v>
      </c>
    </row>
    <row r="704565" spans="1:1" x14ac:dyDescent="0.2">
      <c r="A704565" s="97" t="s">
        <v>147</v>
      </c>
    </row>
    <row r="704566" spans="1:1" x14ac:dyDescent="0.2">
      <c r="A704566" s="97" t="s">
        <v>148</v>
      </c>
    </row>
    <row r="704567" spans="1:1" x14ac:dyDescent="0.2">
      <c r="A704567" s="97" t="s">
        <v>149</v>
      </c>
    </row>
    <row r="704568" spans="1:1" x14ac:dyDescent="0.2">
      <c r="A704568" s="97" t="s">
        <v>150</v>
      </c>
    </row>
    <row r="704569" spans="1:1" x14ac:dyDescent="0.2">
      <c r="A704569" s="97" t="s">
        <v>151</v>
      </c>
    </row>
    <row r="704570" spans="1:1" x14ac:dyDescent="0.2">
      <c r="A704570" s="97" t="s">
        <v>152</v>
      </c>
    </row>
    <row r="704571" spans="1:1" x14ac:dyDescent="0.2">
      <c r="A704571" s="97" t="s">
        <v>153</v>
      </c>
    </row>
    <row r="704572" spans="1:1" x14ac:dyDescent="0.2">
      <c r="A704572" s="97" t="s">
        <v>154</v>
      </c>
    </row>
    <row r="704573" spans="1:1" x14ac:dyDescent="0.2">
      <c r="A704573" s="97" t="s">
        <v>155</v>
      </c>
    </row>
    <row r="704574" spans="1:1" x14ac:dyDescent="0.2">
      <c r="A704574" s="97" t="s">
        <v>156</v>
      </c>
    </row>
    <row r="704575" spans="1:1" x14ac:dyDescent="0.2">
      <c r="A704575" s="97" t="s">
        <v>157</v>
      </c>
    </row>
    <row r="704576" spans="1:1" x14ac:dyDescent="0.2">
      <c r="A704576" s="97" t="s">
        <v>158</v>
      </c>
    </row>
    <row r="704577" spans="1:1" x14ac:dyDescent="0.2">
      <c r="A704577" s="97" t="s">
        <v>159</v>
      </c>
    </row>
    <row r="704578" spans="1:1" x14ac:dyDescent="0.2">
      <c r="A704578" s="97" t="s">
        <v>160</v>
      </c>
    </row>
    <row r="704579" spans="1:1" x14ac:dyDescent="0.2">
      <c r="A704579" s="97" t="s">
        <v>161</v>
      </c>
    </row>
    <row r="704580" spans="1:1" x14ac:dyDescent="0.2">
      <c r="A704580" s="97" t="s">
        <v>162</v>
      </c>
    </row>
    <row r="704581" spans="1:1" x14ac:dyDescent="0.2">
      <c r="A704581" s="97" t="s">
        <v>163</v>
      </c>
    </row>
    <row r="704582" spans="1:1" x14ac:dyDescent="0.2">
      <c r="A704582" s="97" t="s">
        <v>164</v>
      </c>
    </row>
    <row r="704583" spans="1:1" x14ac:dyDescent="0.2">
      <c r="A704583" s="97" t="s">
        <v>165</v>
      </c>
    </row>
    <row r="704584" spans="1:1" x14ac:dyDescent="0.2">
      <c r="A704584" s="97" t="s">
        <v>166</v>
      </c>
    </row>
    <row r="704585" spans="1:1" x14ac:dyDescent="0.2">
      <c r="A704585" s="97" t="s">
        <v>167</v>
      </c>
    </row>
    <row r="704586" spans="1:1" x14ac:dyDescent="0.2">
      <c r="A704586" s="97" t="s">
        <v>168</v>
      </c>
    </row>
    <row r="704587" spans="1:1" x14ac:dyDescent="0.2">
      <c r="A704587" s="97" t="s">
        <v>169</v>
      </c>
    </row>
    <row r="704588" spans="1:1" x14ac:dyDescent="0.2">
      <c r="A704588" s="97" t="s">
        <v>170</v>
      </c>
    </row>
    <row r="704589" spans="1:1" x14ac:dyDescent="0.2">
      <c r="A704589" s="97" t="s">
        <v>171</v>
      </c>
    </row>
    <row r="704590" spans="1:1" x14ac:dyDescent="0.2">
      <c r="A704590" s="97" t="s">
        <v>172</v>
      </c>
    </row>
    <row r="704591" spans="1:1" x14ac:dyDescent="0.2">
      <c r="A704591" s="97" t="s">
        <v>173</v>
      </c>
    </row>
    <row r="704592" spans="1:1" x14ac:dyDescent="0.2">
      <c r="A704592" s="97" t="s">
        <v>174</v>
      </c>
    </row>
    <row r="704593" spans="1:1" x14ac:dyDescent="0.2">
      <c r="A704593" s="97" t="s">
        <v>175</v>
      </c>
    </row>
    <row r="704594" spans="1:1" x14ac:dyDescent="0.2">
      <c r="A704594" s="97" t="s">
        <v>176</v>
      </c>
    </row>
    <row r="704595" spans="1:1" x14ac:dyDescent="0.2">
      <c r="A704595" s="97" t="s">
        <v>177</v>
      </c>
    </row>
    <row r="704596" spans="1:1" x14ac:dyDescent="0.2">
      <c r="A704596" s="97" t="s">
        <v>178</v>
      </c>
    </row>
    <row r="704597" spans="1:1" x14ac:dyDescent="0.2">
      <c r="A704597" s="97" t="s">
        <v>179</v>
      </c>
    </row>
    <row r="704598" spans="1:1" x14ac:dyDescent="0.2">
      <c r="A704598" s="97" t="s">
        <v>180</v>
      </c>
    </row>
    <row r="704599" spans="1:1" x14ac:dyDescent="0.2">
      <c r="A704599" s="97" t="s">
        <v>181</v>
      </c>
    </row>
    <row r="704600" spans="1:1" x14ac:dyDescent="0.2">
      <c r="A704600" s="97" t="s">
        <v>182</v>
      </c>
    </row>
    <row r="704601" spans="1:1" x14ac:dyDescent="0.2">
      <c r="A704601" s="97" t="s">
        <v>183</v>
      </c>
    </row>
    <row r="720897" spans="1:1" x14ac:dyDescent="0.2">
      <c r="A720897" s="97" t="s">
        <v>95</v>
      </c>
    </row>
    <row r="720898" spans="1:1" x14ac:dyDescent="0.2">
      <c r="A720898" s="97" t="s">
        <v>96</v>
      </c>
    </row>
    <row r="720899" spans="1:1" x14ac:dyDescent="0.2">
      <c r="A720899" s="97" t="s">
        <v>97</v>
      </c>
    </row>
    <row r="720900" spans="1:1" x14ac:dyDescent="0.2">
      <c r="A720900" s="97" t="s">
        <v>98</v>
      </c>
    </row>
    <row r="720901" spans="1:1" x14ac:dyDescent="0.2">
      <c r="A720901" s="97" t="s">
        <v>99</v>
      </c>
    </row>
    <row r="720902" spans="1:1" x14ac:dyDescent="0.2">
      <c r="A720902" s="97" t="s">
        <v>100</v>
      </c>
    </row>
    <row r="720903" spans="1:1" x14ac:dyDescent="0.2">
      <c r="A720903" s="97" t="s">
        <v>101</v>
      </c>
    </row>
    <row r="720904" spans="1:1" x14ac:dyDescent="0.2">
      <c r="A720904" s="97" t="s">
        <v>102</v>
      </c>
    </row>
    <row r="720905" spans="1:1" x14ac:dyDescent="0.2">
      <c r="A720905" s="97" t="s">
        <v>103</v>
      </c>
    </row>
    <row r="720906" spans="1:1" x14ac:dyDescent="0.2">
      <c r="A720906" s="97" t="s">
        <v>104</v>
      </c>
    </row>
    <row r="720907" spans="1:1" x14ac:dyDescent="0.2">
      <c r="A720907" s="97" t="s">
        <v>105</v>
      </c>
    </row>
    <row r="720908" spans="1:1" x14ac:dyDescent="0.2">
      <c r="A720908" s="97" t="s">
        <v>106</v>
      </c>
    </row>
    <row r="720909" spans="1:1" x14ac:dyDescent="0.2">
      <c r="A720909" s="97" t="s">
        <v>107</v>
      </c>
    </row>
    <row r="720910" spans="1:1" x14ac:dyDescent="0.2">
      <c r="A720910" s="97" t="s">
        <v>108</v>
      </c>
    </row>
    <row r="720911" spans="1:1" x14ac:dyDescent="0.2">
      <c r="A720911" s="97" t="s">
        <v>109</v>
      </c>
    </row>
    <row r="720912" spans="1:1" x14ac:dyDescent="0.2">
      <c r="A720912" s="97" t="s">
        <v>110</v>
      </c>
    </row>
    <row r="720913" spans="1:1" x14ac:dyDescent="0.2">
      <c r="A720913" s="97" t="s">
        <v>111</v>
      </c>
    </row>
    <row r="720914" spans="1:1" x14ac:dyDescent="0.2">
      <c r="A720914" s="97" t="s">
        <v>112</v>
      </c>
    </row>
    <row r="720915" spans="1:1" x14ac:dyDescent="0.2">
      <c r="A720915" s="97" t="s">
        <v>113</v>
      </c>
    </row>
    <row r="720916" spans="1:1" x14ac:dyDescent="0.2">
      <c r="A720916" s="97" t="s">
        <v>114</v>
      </c>
    </row>
    <row r="720917" spans="1:1" x14ac:dyDescent="0.2">
      <c r="A720917" s="97" t="s">
        <v>115</v>
      </c>
    </row>
    <row r="720918" spans="1:1" x14ac:dyDescent="0.2">
      <c r="A720918" s="97" t="s">
        <v>116</v>
      </c>
    </row>
    <row r="720919" spans="1:1" x14ac:dyDescent="0.2">
      <c r="A720919" s="97" t="s">
        <v>117</v>
      </c>
    </row>
    <row r="720920" spans="1:1" x14ac:dyDescent="0.2">
      <c r="A720920" s="97" t="s">
        <v>118</v>
      </c>
    </row>
    <row r="720921" spans="1:1" x14ac:dyDescent="0.2">
      <c r="A720921" s="97" t="s">
        <v>119</v>
      </c>
    </row>
    <row r="720922" spans="1:1" x14ac:dyDescent="0.2">
      <c r="A720922" s="97" t="s">
        <v>120</v>
      </c>
    </row>
    <row r="720923" spans="1:1" x14ac:dyDescent="0.2">
      <c r="A720923" s="97" t="s">
        <v>121</v>
      </c>
    </row>
    <row r="720924" spans="1:1" x14ac:dyDescent="0.2">
      <c r="A720924" s="97" t="s">
        <v>122</v>
      </c>
    </row>
    <row r="720925" spans="1:1" x14ac:dyDescent="0.2">
      <c r="A720925" s="97" t="s">
        <v>123</v>
      </c>
    </row>
    <row r="720926" spans="1:1" x14ac:dyDescent="0.2">
      <c r="A720926" s="97" t="s">
        <v>124</v>
      </c>
    </row>
    <row r="720927" spans="1:1" x14ac:dyDescent="0.2">
      <c r="A720927" s="97" t="s">
        <v>125</v>
      </c>
    </row>
    <row r="720928" spans="1:1" x14ac:dyDescent="0.2">
      <c r="A720928" s="97" t="s">
        <v>126</v>
      </c>
    </row>
    <row r="720929" spans="1:1" x14ac:dyDescent="0.2">
      <c r="A720929" s="97" t="s">
        <v>127</v>
      </c>
    </row>
    <row r="720930" spans="1:1" x14ac:dyDescent="0.2">
      <c r="A720930" s="97" t="s">
        <v>128</v>
      </c>
    </row>
    <row r="720931" spans="1:1" x14ac:dyDescent="0.2">
      <c r="A720931" s="97" t="s">
        <v>129</v>
      </c>
    </row>
    <row r="720932" spans="1:1" x14ac:dyDescent="0.2">
      <c r="A720932" s="97" t="s">
        <v>130</v>
      </c>
    </row>
    <row r="720933" spans="1:1" x14ac:dyDescent="0.2">
      <c r="A720933" s="97" t="s">
        <v>131</v>
      </c>
    </row>
    <row r="720934" spans="1:1" x14ac:dyDescent="0.2">
      <c r="A720934" s="97" t="s">
        <v>132</v>
      </c>
    </row>
    <row r="720935" spans="1:1" x14ac:dyDescent="0.2">
      <c r="A720935" s="97" t="s">
        <v>133</v>
      </c>
    </row>
    <row r="720936" spans="1:1" x14ac:dyDescent="0.2">
      <c r="A720936" s="97" t="s">
        <v>134</v>
      </c>
    </row>
    <row r="720937" spans="1:1" x14ac:dyDescent="0.2">
      <c r="A720937" s="97" t="s">
        <v>135</v>
      </c>
    </row>
    <row r="720938" spans="1:1" x14ac:dyDescent="0.2">
      <c r="A720938" s="97" t="s">
        <v>136</v>
      </c>
    </row>
    <row r="720939" spans="1:1" x14ac:dyDescent="0.2">
      <c r="A720939" s="97" t="s">
        <v>137</v>
      </c>
    </row>
    <row r="720940" spans="1:1" x14ac:dyDescent="0.2">
      <c r="A720940" s="97" t="s">
        <v>138</v>
      </c>
    </row>
    <row r="720941" spans="1:1" x14ac:dyDescent="0.2">
      <c r="A720941" s="97" t="s">
        <v>139</v>
      </c>
    </row>
    <row r="720942" spans="1:1" x14ac:dyDescent="0.2">
      <c r="A720942" s="97" t="s">
        <v>140</v>
      </c>
    </row>
    <row r="720943" spans="1:1" x14ac:dyDescent="0.2">
      <c r="A720943" s="97" t="s">
        <v>141</v>
      </c>
    </row>
    <row r="720944" spans="1:1" x14ac:dyDescent="0.2">
      <c r="A720944" s="97" t="s">
        <v>142</v>
      </c>
    </row>
    <row r="720945" spans="1:1" x14ac:dyDescent="0.2">
      <c r="A720945" s="97" t="s">
        <v>143</v>
      </c>
    </row>
    <row r="720946" spans="1:1" x14ac:dyDescent="0.2">
      <c r="A720946" s="97" t="s">
        <v>144</v>
      </c>
    </row>
    <row r="720947" spans="1:1" x14ac:dyDescent="0.2">
      <c r="A720947" s="97" t="s">
        <v>145</v>
      </c>
    </row>
    <row r="720948" spans="1:1" x14ac:dyDescent="0.2">
      <c r="A720948" s="97" t="s">
        <v>146</v>
      </c>
    </row>
    <row r="720949" spans="1:1" x14ac:dyDescent="0.2">
      <c r="A720949" s="97" t="s">
        <v>147</v>
      </c>
    </row>
    <row r="720950" spans="1:1" x14ac:dyDescent="0.2">
      <c r="A720950" s="97" t="s">
        <v>148</v>
      </c>
    </row>
    <row r="720951" spans="1:1" x14ac:dyDescent="0.2">
      <c r="A720951" s="97" t="s">
        <v>149</v>
      </c>
    </row>
    <row r="720952" spans="1:1" x14ac:dyDescent="0.2">
      <c r="A720952" s="97" t="s">
        <v>150</v>
      </c>
    </row>
    <row r="720953" spans="1:1" x14ac:dyDescent="0.2">
      <c r="A720953" s="97" t="s">
        <v>151</v>
      </c>
    </row>
    <row r="720954" spans="1:1" x14ac:dyDescent="0.2">
      <c r="A720954" s="97" t="s">
        <v>152</v>
      </c>
    </row>
    <row r="720955" spans="1:1" x14ac:dyDescent="0.2">
      <c r="A720955" s="97" t="s">
        <v>153</v>
      </c>
    </row>
    <row r="720956" spans="1:1" x14ac:dyDescent="0.2">
      <c r="A720956" s="97" t="s">
        <v>154</v>
      </c>
    </row>
    <row r="720957" spans="1:1" x14ac:dyDescent="0.2">
      <c r="A720957" s="97" t="s">
        <v>155</v>
      </c>
    </row>
    <row r="720958" spans="1:1" x14ac:dyDescent="0.2">
      <c r="A720958" s="97" t="s">
        <v>156</v>
      </c>
    </row>
    <row r="720959" spans="1:1" x14ac:dyDescent="0.2">
      <c r="A720959" s="97" t="s">
        <v>157</v>
      </c>
    </row>
    <row r="720960" spans="1:1" x14ac:dyDescent="0.2">
      <c r="A720960" s="97" t="s">
        <v>158</v>
      </c>
    </row>
    <row r="720961" spans="1:1" x14ac:dyDescent="0.2">
      <c r="A720961" s="97" t="s">
        <v>159</v>
      </c>
    </row>
    <row r="720962" spans="1:1" x14ac:dyDescent="0.2">
      <c r="A720962" s="97" t="s">
        <v>160</v>
      </c>
    </row>
    <row r="720963" spans="1:1" x14ac:dyDescent="0.2">
      <c r="A720963" s="97" t="s">
        <v>161</v>
      </c>
    </row>
    <row r="720964" spans="1:1" x14ac:dyDescent="0.2">
      <c r="A720964" s="97" t="s">
        <v>162</v>
      </c>
    </row>
    <row r="720965" spans="1:1" x14ac:dyDescent="0.2">
      <c r="A720965" s="97" t="s">
        <v>163</v>
      </c>
    </row>
    <row r="720966" spans="1:1" x14ac:dyDescent="0.2">
      <c r="A720966" s="97" t="s">
        <v>164</v>
      </c>
    </row>
    <row r="720967" spans="1:1" x14ac:dyDescent="0.2">
      <c r="A720967" s="97" t="s">
        <v>165</v>
      </c>
    </row>
    <row r="720968" spans="1:1" x14ac:dyDescent="0.2">
      <c r="A720968" s="97" t="s">
        <v>166</v>
      </c>
    </row>
    <row r="720969" spans="1:1" x14ac:dyDescent="0.2">
      <c r="A720969" s="97" t="s">
        <v>167</v>
      </c>
    </row>
    <row r="720970" spans="1:1" x14ac:dyDescent="0.2">
      <c r="A720970" s="97" t="s">
        <v>168</v>
      </c>
    </row>
    <row r="720971" spans="1:1" x14ac:dyDescent="0.2">
      <c r="A720971" s="97" t="s">
        <v>169</v>
      </c>
    </row>
    <row r="720972" spans="1:1" x14ac:dyDescent="0.2">
      <c r="A720972" s="97" t="s">
        <v>170</v>
      </c>
    </row>
    <row r="720973" spans="1:1" x14ac:dyDescent="0.2">
      <c r="A720973" s="97" t="s">
        <v>171</v>
      </c>
    </row>
    <row r="720974" spans="1:1" x14ac:dyDescent="0.2">
      <c r="A720974" s="97" t="s">
        <v>172</v>
      </c>
    </row>
    <row r="720975" spans="1:1" x14ac:dyDescent="0.2">
      <c r="A720975" s="97" t="s">
        <v>173</v>
      </c>
    </row>
    <row r="720976" spans="1:1" x14ac:dyDescent="0.2">
      <c r="A720976" s="97" t="s">
        <v>174</v>
      </c>
    </row>
    <row r="720977" spans="1:1" x14ac:dyDescent="0.2">
      <c r="A720977" s="97" t="s">
        <v>175</v>
      </c>
    </row>
    <row r="720978" spans="1:1" x14ac:dyDescent="0.2">
      <c r="A720978" s="97" t="s">
        <v>176</v>
      </c>
    </row>
    <row r="720979" spans="1:1" x14ac:dyDescent="0.2">
      <c r="A720979" s="97" t="s">
        <v>177</v>
      </c>
    </row>
    <row r="720980" spans="1:1" x14ac:dyDescent="0.2">
      <c r="A720980" s="97" t="s">
        <v>178</v>
      </c>
    </row>
    <row r="720981" spans="1:1" x14ac:dyDescent="0.2">
      <c r="A720981" s="97" t="s">
        <v>179</v>
      </c>
    </row>
    <row r="720982" spans="1:1" x14ac:dyDescent="0.2">
      <c r="A720982" s="97" t="s">
        <v>180</v>
      </c>
    </row>
    <row r="720983" spans="1:1" x14ac:dyDescent="0.2">
      <c r="A720983" s="97" t="s">
        <v>181</v>
      </c>
    </row>
    <row r="720984" spans="1:1" x14ac:dyDescent="0.2">
      <c r="A720984" s="97" t="s">
        <v>182</v>
      </c>
    </row>
    <row r="720985" spans="1:1" x14ac:dyDescent="0.2">
      <c r="A720985" s="97" t="s">
        <v>183</v>
      </c>
    </row>
    <row r="737281" spans="1:1" x14ac:dyDescent="0.2">
      <c r="A737281" s="97" t="s">
        <v>95</v>
      </c>
    </row>
    <row r="737282" spans="1:1" x14ac:dyDescent="0.2">
      <c r="A737282" s="97" t="s">
        <v>96</v>
      </c>
    </row>
    <row r="737283" spans="1:1" x14ac:dyDescent="0.2">
      <c r="A737283" s="97" t="s">
        <v>97</v>
      </c>
    </row>
    <row r="737284" spans="1:1" x14ac:dyDescent="0.2">
      <c r="A737284" s="97" t="s">
        <v>98</v>
      </c>
    </row>
    <row r="737285" spans="1:1" x14ac:dyDescent="0.2">
      <c r="A737285" s="97" t="s">
        <v>99</v>
      </c>
    </row>
    <row r="737286" spans="1:1" x14ac:dyDescent="0.2">
      <c r="A737286" s="97" t="s">
        <v>100</v>
      </c>
    </row>
    <row r="737287" spans="1:1" x14ac:dyDescent="0.2">
      <c r="A737287" s="97" t="s">
        <v>101</v>
      </c>
    </row>
    <row r="737288" spans="1:1" x14ac:dyDescent="0.2">
      <c r="A737288" s="97" t="s">
        <v>102</v>
      </c>
    </row>
    <row r="737289" spans="1:1" x14ac:dyDescent="0.2">
      <c r="A737289" s="97" t="s">
        <v>103</v>
      </c>
    </row>
    <row r="737290" spans="1:1" x14ac:dyDescent="0.2">
      <c r="A737290" s="97" t="s">
        <v>104</v>
      </c>
    </row>
    <row r="737291" spans="1:1" x14ac:dyDescent="0.2">
      <c r="A737291" s="97" t="s">
        <v>105</v>
      </c>
    </row>
    <row r="737292" spans="1:1" x14ac:dyDescent="0.2">
      <c r="A737292" s="97" t="s">
        <v>106</v>
      </c>
    </row>
    <row r="737293" spans="1:1" x14ac:dyDescent="0.2">
      <c r="A737293" s="97" t="s">
        <v>107</v>
      </c>
    </row>
    <row r="737294" spans="1:1" x14ac:dyDescent="0.2">
      <c r="A737294" s="97" t="s">
        <v>108</v>
      </c>
    </row>
    <row r="737295" spans="1:1" x14ac:dyDescent="0.2">
      <c r="A737295" s="97" t="s">
        <v>109</v>
      </c>
    </row>
    <row r="737296" spans="1:1" x14ac:dyDescent="0.2">
      <c r="A737296" s="97" t="s">
        <v>110</v>
      </c>
    </row>
    <row r="737297" spans="1:1" x14ac:dyDescent="0.2">
      <c r="A737297" s="97" t="s">
        <v>111</v>
      </c>
    </row>
    <row r="737298" spans="1:1" x14ac:dyDescent="0.2">
      <c r="A737298" s="97" t="s">
        <v>112</v>
      </c>
    </row>
    <row r="737299" spans="1:1" x14ac:dyDescent="0.2">
      <c r="A737299" s="97" t="s">
        <v>113</v>
      </c>
    </row>
    <row r="737300" spans="1:1" x14ac:dyDescent="0.2">
      <c r="A737300" s="97" t="s">
        <v>114</v>
      </c>
    </row>
    <row r="737301" spans="1:1" x14ac:dyDescent="0.2">
      <c r="A737301" s="97" t="s">
        <v>115</v>
      </c>
    </row>
    <row r="737302" spans="1:1" x14ac:dyDescent="0.2">
      <c r="A737302" s="97" t="s">
        <v>116</v>
      </c>
    </row>
    <row r="737303" spans="1:1" x14ac:dyDescent="0.2">
      <c r="A737303" s="97" t="s">
        <v>117</v>
      </c>
    </row>
    <row r="737304" spans="1:1" x14ac:dyDescent="0.2">
      <c r="A737304" s="97" t="s">
        <v>118</v>
      </c>
    </row>
    <row r="737305" spans="1:1" x14ac:dyDescent="0.2">
      <c r="A737305" s="97" t="s">
        <v>119</v>
      </c>
    </row>
    <row r="737306" spans="1:1" x14ac:dyDescent="0.2">
      <c r="A737306" s="97" t="s">
        <v>120</v>
      </c>
    </row>
    <row r="737307" spans="1:1" x14ac:dyDescent="0.2">
      <c r="A737307" s="97" t="s">
        <v>121</v>
      </c>
    </row>
    <row r="737308" spans="1:1" x14ac:dyDescent="0.2">
      <c r="A737308" s="97" t="s">
        <v>122</v>
      </c>
    </row>
    <row r="737309" spans="1:1" x14ac:dyDescent="0.2">
      <c r="A737309" s="97" t="s">
        <v>123</v>
      </c>
    </row>
    <row r="737310" spans="1:1" x14ac:dyDescent="0.2">
      <c r="A737310" s="97" t="s">
        <v>124</v>
      </c>
    </row>
    <row r="737311" spans="1:1" x14ac:dyDescent="0.2">
      <c r="A737311" s="97" t="s">
        <v>125</v>
      </c>
    </row>
    <row r="737312" spans="1:1" x14ac:dyDescent="0.2">
      <c r="A737312" s="97" t="s">
        <v>126</v>
      </c>
    </row>
    <row r="737313" spans="1:1" x14ac:dyDescent="0.2">
      <c r="A737313" s="97" t="s">
        <v>127</v>
      </c>
    </row>
    <row r="737314" spans="1:1" x14ac:dyDescent="0.2">
      <c r="A737314" s="97" t="s">
        <v>128</v>
      </c>
    </row>
    <row r="737315" spans="1:1" x14ac:dyDescent="0.2">
      <c r="A737315" s="97" t="s">
        <v>129</v>
      </c>
    </row>
    <row r="737316" spans="1:1" x14ac:dyDescent="0.2">
      <c r="A737316" s="97" t="s">
        <v>130</v>
      </c>
    </row>
    <row r="737317" spans="1:1" x14ac:dyDescent="0.2">
      <c r="A737317" s="97" t="s">
        <v>131</v>
      </c>
    </row>
    <row r="737318" spans="1:1" x14ac:dyDescent="0.2">
      <c r="A737318" s="97" t="s">
        <v>132</v>
      </c>
    </row>
    <row r="737319" spans="1:1" x14ac:dyDescent="0.2">
      <c r="A737319" s="97" t="s">
        <v>133</v>
      </c>
    </row>
    <row r="737320" spans="1:1" x14ac:dyDescent="0.2">
      <c r="A737320" s="97" t="s">
        <v>134</v>
      </c>
    </row>
    <row r="737321" spans="1:1" x14ac:dyDescent="0.2">
      <c r="A737321" s="97" t="s">
        <v>135</v>
      </c>
    </row>
    <row r="737322" spans="1:1" x14ac:dyDescent="0.2">
      <c r="A737322" s="97" t="s">
        <v>136</v>
      </c>
    </row>
    <row r="737323" spans="1:1" x14ac:dyDescent="0.2">
      <c r="A737323" s="97" t="s">
        <v>137</v>
      </c>
    </row>
    <row r="737324" spans="1:1" x14ac:dyDescent="0.2">
      <c r="A737324" s="97" t="s">
        <v>138</v>
      </c>
    </row>
    <row r="737325" spans="1:1" x14ac:dyDescent="0.2">
      <c r="A737325" s="97" t="s">
        <v>139</v>
      </c>
    </row>
    <row r="737326" spans="1:1" x14ac:dyDescent="0.2">
      <c r="A737326" s="97" t="s">
        <v>140</v>
      </c>
    </row>
    <row r="737327" spans="1:1" x14ac:dyDescent="0.2">
      <c r="A737327" s="97" t="s">
        <v>141</v>
      </c>
    </row>
    <row r="737328" spans="1:1" x14ac:dyDescent="0.2">
      <c r="A737328" s="97" t="s">
        <v>142</v>
      </c>
    </row>
    <row r="737329" spans="1:1" x14ac:dyDescent="0.2">
      <c r="A737329" s="97" t="s">
        <v>143</v>
      </c>
    </row>
    <row r="737330" spans="1:1" x14ac:dyDescent="0.2">
      <c r="A737330" s="97" t="s">
        <v>144</v>
      </c>
    </row>
    <row r="737331" spans="1:1" x14ac:dyDescent="0.2">
      <c r="A737331" s="97" t="s">
        <v>145</v>
      </c>
    </row>
    <row r="737332" spans="1:1" x14ac:dyDescent="0.2">
      <c r="A737332" s="97" t="s">
        <v>146</v>
      </c>
    </row>
    <row r="737333" spans="1:1" x14ac:dyDescent="0.2">
      <c r="A737333" s="97" t="s">
        <v>147</v>
      </c>
    </row>
    <row r="737334" spans="1:1" x14ac:dyDescent="0.2">
      <c r="A737334" s="97" t="s">
        <v>148</v>
      </c>
    </row>
    <row r="737335" spans="1:1" x14ac:dyDescent="0.2">
      <c r="A737335" s="97" t="s">
        <v>149</v>
      </c>
    </row>
    <row r="737336" spans="1:1" x14ac:dyDescent="0.2">
      <c r="A737336" s="97" t="s">
        <v>150</v>
      </c>
    </row>
    <row r="737337" spans="1:1" x14ac:dyDescent="0.2">
      <c r="A737337" s="97" t="s">
        <v>151</v>
      </c>
    </row>
    <row r="737338" spans="1:1" x14ac:dyDescent="0.2">
      <c r="A737338" s="97" t="s">
        <v>152</v>
      </c>
    </row>
    <row r="737339" spans="1:1" x14ac:dyDescent="0.2">
      <c r="A737339" s="97" t="s">
        <v>153</v>
      </c>
    </row>
    <row r="737340" spans="1:1" x14ac:dyDescent="0.2">
      <c r="A737340" s="97" t="s">
        <v>154</v>
      </c>
    </row>
    <row r="737341" spans="1:1" x14ac:dyDescent="0.2">
      <c r="A737341" s="97" t="s">
        <v>155</v>
      </c>
    </row>
    <row r="737342" spans="1:1" x14ac:dyDescent="0.2">
      <c r="A737342" s="97" t="s">
        <v>156</v>
      </c>
    </row>
    <row r="737343" spans="1:1" x14ac:dyDescent="0.2">
      <c r="A737343" s="97" t="s">
        <v>157</v>
      </c>
    </row>
    <row r="737344" spans="1:1" x14ac:dyDescent="0.2">
      <c r="A737344" s="97" t="s">
        <v>158</v>
      </c>
    </row>
    <row r="737345" spans="1:1" x14ac:dyDescent="0.2">
      <c r="A737345" s="97" t="s">
        <v>159</v>
      </c>
    </row>
    <row r="737346" spans="1:1" x14ac:dyDescent="0.2">
      <c r="A737346" s="97" t="s">
        <v>160</v>
      </c>
    </row>
    <row r="737347" spans="1:1" x14ac:dyDescent="0.2">
      <c r="A737347" s="97" t="s">
        <v>161</v>
      </c>
    </row>
    <row r="737348" spans="1:1" x14ac:dyDescent="0.2">
      <c r="A737348" s="97" t="s">
        <v>162</v>
      </c>
    </row>
    <row r="737349" spans="1:1" x14ac:dyDescent="0.2">
      <c r="A737349" s="97" t="s">
        <v>163</v>
      </c>
    </row>
    <row r="737350" spans="1:1" x14ac:dyDescent="0.2">
      <c r="A737350" s="97" t="s">
        <v>164</v>
      </c>
    </row>
    <row r="737351" spans="1:1" x14ac:dyDescent="0.2">
      <c r="A737351" s="97" t="s">
        <v>165</v>
      </c>
    </row>
    <row r="737352" spans="1:1" x14ac:dyDescent="0.2">
      <c r="A737352" s="97" t="s">
        <v>166</v>
      </c>
    </row>
    <row r="737353" spans="1:1" x14ac:dyDescent="0.2">
      <c r="A737353" s="97" t="s">
        <v>167</v>
      </c>
    </row>
    <row r="737354" spans="1:1" x14ac:dyDescent="0.2">
      <c r="A737354" s="97" t="s">
        <v>168</v>
      </c>
    </row>
    <row r="737355" spans="1:1" x14ac:dyDescent="0.2">
      <c r="A737355" s="97" t="s">
        <v>169</v>
      </c>
    </row>
    <row r="737356" spans="1:1" x14ac:dyDescent="0.2">
      <c r="A737356" s="97" t="s">
        <v>170</v>
      </c>
    </row>
    <row r="737357" spans="1:1" x14ac:dyDescent="0.2">
      <c r="A737357" s="97" t="s">
        <v>171</v>
      </c>
    </row>
    <row r="737358" spans="1:1" x14ac:dyDescent="0.2">
      <c r="A737358" s="97" t="s">
        <v>172</v>
      </c>
    </row>
    <row r="737359" spans="1:1" x14ac:dyDescent="0.2">
      <c r="A737359" s="97" t="s">
        <v>173</v>
      </c>
    </row>
    <row r="737360" spans="1:1" x14ac:dyDescent="0.2">
      <c r="A737360" s="97" t="s">
        <v>174</v>
      </c>
    </row>
    <row r="737361" spans="1:1" x14ac:dyDescent="0.2">
      <c r="A737361" s="97" t="s">
        <v>175</v>
      </c>
    </row>
    <row r="737362" spans="1:1" x14ac:dyDescent="0.2">
      <c r="A737362" s="97" t="s">
        <v>176</v>
      </c>
    </row>
    <row r="737363" spans="1:1" x14ac:dyDescent="0.2">
      <c r="A737363" s="97" t="s">
        <v>177</v>
      </c>
    </row>
    <row r="737364" spans="1:1" x14ac:dyDescent="0.2">
      <c r="A737364" s="97" t="s">
        <v>178</v>
      </c>
    </row>
    <row r="737365" spans="1:1" x14ac:dyDescent="0.2">
      <c r="A737365" s="97" t="s">
        <v>179</v>
      </c>
    </row>
    <row r="737366" spans="1:1" x14ac:dyDescent="0.2">
      <c r="A737366" s="97" t="s">
        <v>180</v>
      </c>
    </row>
    <row r="737367" spans="1:1" x14ac:dyDescent="0.2">
      <c r="A737367" s="97" t="s">
        <v>181</v>
      </c>
    </row>
    <row r="737368" spans="1:1" x14ac:dyDescent="0.2">
      <c r="A737368" s="97" t="s">
        <v>182</v>
      </c>
    </row>
    <row r="737369" spans="1:1" x14ac:dyDescent="0.2">
      <c r="A737369" s="97" t="s">
        <v>183</v>
      </c>
    </row>
    <row r="753665" spans="1:1" x14ac:dyDescent="0.2">
      <c r="A753665" s="97" t="s">
        <v>95</v>
      </c>
    </row>
    <row r="753666" spans="1:1" x14ac:dyDescent="0.2">
      <c r="A753666" s="97" t="s">
        <v>96</v>
      </c>
    </row>
    <row r="753667" spans="1:1" x14ac:dyDescent="0.2">
      <c r="A753667" s="97" t="s">
        <v>97</v>
      </c>
    </row>
    <row r="753668" spans="1:1" x14ac:dyDescent="0.2">
      <c r="A753668" s="97" t="s">
        <v>98</v>
      </c>
    </row>
    <row r="753669" spans="1:1" x14ac:dyDescent="0.2">
      <c r="A753669" s="97" t="s">
        <v>99</v>
      </c>
    </row>
    <row r="753670" spans="1:1" x14ac:dyDescent="0.2">
      <c r="A753670" s="97" t="s">
        <v>100</v>
      </c>
    </row>
    <row r="753671" spans="1:1" x14ac:dyDescent="0.2">
      <c r="A753671" s="97" t="s">
        <v>101</v>
      </c>
    </row>
    <row r="753672" spans="1:1" x14ac:dyDescent="0.2">
      <c r="A753672" s="97" t="s">
        <v>102</v>
      </c>
    </row>
    <row r="753673" spans="1:1" x14ac:dyDescent="0.2">
      <c r="A753673" s="97" t="s">
        <v>103</v>
      </c>
    </row>
    <row r="753674" spans="1:1" x14ac:dyDescent="0.2">
      <c r="A753674" s="97" t="s">
        <v>104</v>
      </c>
    </row>
    <row r="753675" spans="1:1" x14ac:dyDescent="0.2">
      <c r="A753675" s="97" t="s">
        <v>105</v>
      </c>
    </row>
    <row r="753676" spans="1:1" x14ac:dyDescent="0.2">
      <c r="A753676" s="97" t="s">
        <v>106</v>
      </c>
    </row>
    <row r="753677" spans="1:1" x14ac:dyDescent="0.2">
      <c r="A753677" s="97" t="s">
        <v>107</v>
      </c>
    </row>
    <row r="753678" spans="1:1" x14ac:dyDescent="0.2">
      <c r="A753678" s="97" t="s">
        <v>108</v>
      </c>
    </row>
    <row r="753679" spans="1:1" x14ac:dyDescent="0.2">
      <c r="A753679" s="97" t="s">
        <v>109</v>
      </c>
    </row>
    <row r="753680" spans="1:1" x14ac:dyDescent="0.2">
      <c r="A753680" s="97" t="s">
        <v>110</v>
      </c>
    </row>
    <row r="753681" spans="1:1" x14ac:dyDescent="0.2">
      <c r="A753681" s="97" t="s">
        <v>111</v>
      </c>
    </row>
    <row r="753682" spans="1:1" x14ac:dyDescent="0.2">
      <c r="A753682" s="97" t="s">
        <v>112</v>
      </c>
    </row>
    <row r="753683" spans="1:1" x14ac:dyDescent="0.2">
      <c r="A753683" s="97" t="s">
        <v>113</v>
      </c>
    </row>
    <row r="753684" spans="1:1" x14ac:dyDescent="0.2">
      <c r="A753684" s="97" t="s">
        <v>114</v>
      </c>
    </row>
    <row r="753685" spans="1:1" x14ac:dyDescent="0.2">
      <c r="A753685" s="97" t="s">
        <v>115</v>
      </c>
    </row>
    <row r="753686" spans="1:1" x14ac:dyDescent="0.2">
      <c r="A753686" s="97" t="s">
        <v>116</v>
      </c>
    </row>
    <row r="753687" spans="1:1" x14ac:dyDescent="0.2">
      <c r="A753687" s="97" t="s">
        <v>117</v>
      </c>
    </row>
    <row r="753688" spans="1:1" x14ac:dyDescent="0.2">
      <c r="A753688" s="97" t="s">
        <v>118</v>
      </c>
    </row>
    <row r="753689" spans="1:1" x14ac:dyDescent="0.2">
      <c r="A753689" s="97" t="s">
        <v>119</v>
      </c>
    </row>
    <row r="753690" spans="1:1" x14ac:dyDescent="0.2">
      <c r="A753690" s="97" t="s">
        <v>120</v>
      </c>
    </row>
    <row r="753691" spans="1:1" x14ac:dyDescent="0.2">
      <c r="A753691" s="97" t="s">
        <v>121</v>
      </c>
    </row>
    <row r="753692" spans="1:1" x14ac:dyDescent="0.2">
      <c r="A753692" s="97" t="s">
        <v>122</v>
      </c>
    </row>
    <row r="753693" spans="1:1" x14ac:dyDescent="0.2">
      <c r="A753693" s="97" t="s">
        <v>123</v>
      </c>
    </row>
    <row r="753694" spans="1:1" x14ac:dyDescent="0.2">
      <c r="A753694" s="97" t="s">
        <v>124</v>
      </c>
    </row>
    <row r="753695" spans="1:1" x14ac:dyDescent="0.2">
      <c r="A753695" s="97" t="s">
        <v>125</v>
      </c>
    </row>
    <row r="753696" spans="1:1" x14ac:dyDescent="0.2">
      <c r="A753696" s="97" t="s">
        <v>126</v>
      </c>
    </row>
    <row r="753697" spans="1:1" x14ac:dyDescent="0.2">
      <c r="A753697" s="97" t="s">
        <v>127</v>
      </c>
    </row>
    <row r="753698" spans="1:1" x14ac:dyDescent="0.2">
      <c r="A753698" s="97" t="s">
        <v>128</v>
      </c>
    </row>
    <row r="753699" spans="1:1" x14ac:dyDescent="0.2">
      <c r="A753699" s="97" t="s">
        <v>129</v>
      </c>
    </row>
    <row r="753700" spans="1:1" x14ac:dyDescent="0.2">
      <c r="A753700" s="97" t="s">
        <v>130</v>
      </c>
    </row>
    <row r="753701" spans="1:1" x14ac:dyDescent="0.2">
      <c r="A753701" s="97" t="s">
        <v>131</v>
      </c>
    </row>
    <row r="753702" spans="1:1" x14ac:dyDescent="0.2">
      <c r="A753702" s="97" t="s">
        <v>132</v>
      </c>
    </row>
    <row r="753703" spans="1:1" x14ac:dyDescent="0.2">
      <c r="A753703" s="97" t="s">
        <v>133</v>
      </c>
    </row>
    <row r="753704" spans="1:1" x14ac:dyDescent="0.2">
      <c r="A753704" s="97" t="s">
        <v>134</v>
      </c>
    </row>
    <row r="753705" spans="1:1" x14ac:dyDescent="0.2">
      <c r="A753705" s="97" t="s">
        <v>135</v>
      </c>
    </row>
    <row r="753706" spans="1:1" x14ac:dyDescent="0.2">
      <c r="A753706" s="97" t="s">
        <v>136</v>
      </c>
    </row>
    <row r="753707" spans="1:1" x14ac:dyDescent="0.2">
      <c r="A753707" s="97" t="s">
        <v>137</v>
      </c>
    </row>
    <row r="753708" spans="1:1" x14ac:dyDescent="0.2">
      <c r="A753708" s="97" t="s">
        <v>138</v>
      </c>
    </row>
    <row r="753709" spans="1:1" x14ac:dyDescent="0.2">
      <c r="A753709" s="97" t="s">
        <v>139</v>
      </c>
    </row>
    <row r="753710" spans="1:1" x14ac:dyDescent="0.2">
      <c r="A753710" s="97" t="s">
        <v>140</v>
      </c>
    </row>
    <row r="753711" spans="1:1" x14ac:dyDescent="0.2">
      <c r="A753711" s="97" t="s">
        <v>141</v>
      </c>
    </row>
    <row r="753712" spans="1:1" x14ac:dyDescent="0.2">
      <c r="A753712" s="97" t="s">
        <v>142</v>
      </c>
    </row>
    <row r="753713" spans="1:1" x14ac:dyDescent="0.2">
      <c r="A753713" s="97" t="s">
        <v>143</v>
      </c>
    </row>
    <row r="753714" spans="1:1" x14ac:dyDescent="0.2">
      <c r="A753714" s="97" t="s">
        <v>144</v>
      </c>
    </row>
    <row r="753715" spans="1:1" x14ac:dyDescent="0.2">
      <c r="A753715" s="97" t="s">
        <v>145</v>
      </c>
    </row>
    <row r="753716" spans="1:1" x14ac:dyDescent="0.2">
      <c r="A753716" s="97" t="s">
        <v>146</v>
      </c>
    </row>
    <row r="753717" spans="1:1" x14ac:dyDescent="0.2">
      <c r="A753717" s="97" t="s">
        <v>147</v>
      </c>
    </row>
    <row r="753718" spans="1:1" x14ac:dyDescent="0.2">
      <c r="A753718" s="97" t="s">
        <v>148</v>
      </c>
    </row>
    <row r="753719" spans="1:1" x14ac:dyDescent="0.2">
      <c r="A753719" s="97" t="s">
        <v>149</v>
      </c>
    </row>
    <row r="753720" spans="1:1" x14ac:dyDescent="0.2">
      <c r="A753720" s="97" t="s">
        <v>150</v>
      </c>
    </row>
    <row r="753721" spans="1:1" x14ac:dyDescent="0.2">
      <c r="A753721" s="97" t="s">
        <v>151</v>
      </c>
    </row>
    <row r="753722" spans="1:1" x14ac:dyDescent="0.2">
      <c r="A753722" s="97" t="s">
        <v>152</v>
      </c>
    </row>
    <row r="753723" spans="1:1" x14ac:dyDescent="0.2">
      <c r="A753723" s="97" t="s">
        <v>153</v>
      </c>
    </row>
    <row r="753724" spans="1:1" x14ac:dyDescent="0.2">
      <c r="A753724" s="97" t="s">
        <v>154</v>
      </c>
    </row>
    <row r="753725" spans="1:1" x14ac:dyDescent="0.2">
      <c r="A753725" s="97" t="s">
        <v>155</v>
      </c>
    </row>
    <row r="753726" spans="1:1" x14ac:dyDescent="0.2">
      <c r="A753726" s="97" t="s">
        <v>156</v>
      </c>
    </row>
    <row r="753727" spans="1:1" x14ac:dyDescent="0.2">
      <c r="A753727" s="97" t="s">
        <v>157</v>
      </c>
    </row>
    <row r="753728" spans="1:1" x14ac:dyDescent="0.2">
      <c r="A753728" s="97" t="s">
        <v>158</v>
      </c>
    </row>
    <row r="753729" spans="1:1" x14ac:dyDescent="0.2">
      <c r="A753729" s="97" t="s">
        <v>159</v>
      </c>
    </row>
    <row r="753730" spans="1:1" x14ac:dyDescent="0.2">
      <c r="A753730" s="97" t="s">
        <v>160</v>
      </c>
    </row>
    <row r="753731" spans="1:1" x14ac:dyDescent="0.2">
      <c r="A753731" s="97" t="s">
        <v>161</v>
      </c>
    </row>
    <row r="753732" spans="1:1" x14ac:dyDescent="0.2">
      <c r="A753732" s="97" t="s">
        <v>162</v>
      </c>
    </row>
    <row r="753733" spans="1:1" x14ac:dyDescent="0.2">
      <c r="A753733" s="97" t="s">
        <v>163</v>
      </c>
    </row>
    <row r="753734" spans="1:1" x14ac:dyDescent="0.2">
      <c r="A753734" s="97" t="s">
        <v>164</v>
      </c>
    </row>
    <row r="753735" spans="1:1" x14ac:dyDescent="0.2">
      <c r="A753735" s="97" t="s">
        <v>165</v>
      </c>
    </row>
    <row r="753736" spans="1:1" x14ac:dyDescent="0.2">
      <c r="A753736" s="97" t="s">
        <v>166</v>
      </c>
    </row>
    <row r="753737" spans="1:1" x14ac:dyDescent="0.2">
      <c r="A753737" s="97" t="s">
        <v>167</v>
      </c>
    </row>
    <row r="753738" spans="1:1" x14ac:dyDescent="0.2">
      <c r="A753738" s="97" t="s">
        <v>168</v>
      </c>
    </row>
    <row r="753739" spans="1:1" x14ac:dyDescent="0.2">
      <c r="A753739" s="97" t="s">
        <v>169</v>
      </c>
    </row>
    <row r="753740" spans="1:1" x14ac:dyDescent="0.2">
      <c r="A753740" s="97" t="s">
        <v>170</v>
      </c>
    </row>
    <row r="753741" spans="1:1" x14ac:dyDescent="0.2">
      <c r="A753741" s="97" t="s">
        <v>171</v>
      </c>
    </row>
    <row r="753742" spans="1:1" x14ac:dyDescent="0.2">
      <c r="A753742" s="97" t="s">
        <v>172</v>
      </c>
    </row>
    <row r="753743" spans="1:1" x14ac:dyDescent="0.2">
      <c r="A753743" s="97" t="s">
        <v>173</v>
      </c>
    </row>
    <row r="753744" spans="1:1" x14ac:dyDescent="0.2">
      <c r="A753744" s="97" t="s">
        <v>174</v>
      </c>
    </row>
    <row r="753745" spans="1:1" x14ac:dyDescent="0.2">
      <c r="A753745" s="97" t="s">
        <v>175</v>
      </c>
    </row>
    <row r="753746" spans="1:1" x14ac:dyDescent="0.2">
      <c r="A753746" s="97" t="s">
        <v>176</v>
      </c>
    </row>
    <row r="753747" spans="1:1" x14ac:dyDescent="0.2">
      <c r="A753747" s="97" t="s">
        <v>177</v>
      </c>
    </row>
    <row r="753748" spans="1:1" x14ac:dyDescent="0.2">
      <c r="A753748" s="97" t="s">
        <v>178</v>
      </c>
    </row>
    <row r="753749" spans="1:1" x14ac:dyDescent="0.2">
      <c r="A753749" s="97" t="s">
        <v>179</v>
      </c>
    </row>
    <row r="753750" spans="1:1" x14ac:dyDescent="0.2">
      <c r="A753750" s="97" t="s">
        <v>180</v>
      </c>
    </row>
    <row r="753751" spans="1:1" x14ac:dyDescent="0.2">
      <c r="A753751" s="97" t="s">
        <v>181</v>
      </c>
    </row>
    <row r="753752" spans="1:1" x14ac:dyDescent="0.2">
      <c r="A753752" s="97" t="s">
        <v>182</v>
      </c>
    </row>
    <row r="753753" spans="1:1" x14ac:dyDescent="0.2">
      <c r="A753753" s="97" t="s">
        <v>183</v>
      </c>
    </row>
    <row r="770049" spans="1:1" x14ac:dyDescent="0.2">
      <c r="A770049" s="97" t="s">
        <v>95</v>
      </c>
    </row>
    <row r="770050" spans="1:1" x14ac:dyDescent="0.2">
      <c r="A770050" s="97" t="s">
        <v>96</v>
      </c>
    </row>
    <row r="770051" spans="1:1" x14ac:dyDescent="0.2">
      <c r="A770051" s="97" t="s">
        <v>97</v>
      </c>
    </row>
    <row r="770052" spans="1:1" x14ac:dyDescent="0.2">
      <c r="A770052" s="97" t="s">
        <v>98</v>
      </c>
    </row>
    <row r="770053" spans="1:1" x14ac:dyDescent="0.2">
      <c r="A770053" s="97" t="s">
        <v>99</v>
      </c>
    </row>
    <row r="770054" spans="1:1" x14ac:dyDescent="0.2">
      <c r="A770054" s="97" t="s">
        <v>100</v>
      </c>
    </row>
    <row r="770055" spans="1:1" x14ac:dyDescent="0.2">
      <c r="A770055" s="97" t="s">
        <v>101</v>
      </c>
    </row>
    <row r="770056" spans="1:1" x14ac:dyDescent="0.2">
      <c r="A770056" s="97" t="s">
        <v>102</v>
      </c>
    </row>
    <row r="770057" spans="1:1" x14ac:dyDescent="0.2">
      <c r="A770057" s="97" t="s">
        <v>103</v>
      </c>
    </row>
    <row r="770058" spans="1:1" x14ac:dyDescent="0.2">
      <c r="A770058" s="97" t="s">
        <v>104</v>
      </c>
    </row>
    <row r="770059" spans="1:1" x14ac:dyDescent="0.2">
      <c r="A770059" s="97" t="s">
        <v>105</v>
      </c>
    </row>
    <row r="770060" spans="1:1" x14ac:dyDescent="0.2">
      <c r="A770060" s="97" t="s">
        <v>106</v>
      </c>
    </row>
    <row r="770061" spans="1:1" x14ac:dyDescent="0.2">
      <c r="A770061" s="97" t="s">
        <v>107</v>
      </c>
    </row>
    <row r="770062" spans="1:1" x14ac:dyDescent="0.2">
      <c r="A770062" s="97" t="s">
        <v>108</v>
      </c>
    </row>
    <row r="770063" spans="1:1" x14ac:dyDescent="0.2">
      <c r="A770063" s="97" t="s">
        <v>109</v>
      </c>
    </row>
    <row r="770064" spans="1:1" x14ac:dyDescent="0.2">
      <c r="A770064" s="97" t="s">
        <v>110</v>
      </c>
    </row>
    <row r="770065" spans="1:1" x14ac:dyDescent="0.2">
      <c r="A770065" s="97" t="s">
        <v>111</v>
      </c>
    </row>
    <row r="770066" spans="1:1" x14ac:dyDescent="0.2">
      <c r="A770066" s="97" t="s">
        <v>112</v>
      </c>
    </row>
    <row r="770067" spans="1:1" x14ac:dyDescent="0.2">
      <c r="A770067" s="97" t="s">
        <v>113</v>
      </c>
    </row>
    <row r="770068" spans="1:1" x14ac:dyDescent="0.2">
      <c r="A770068" s="97" t="s">
        <v>114</v>
      </c>
    </row>
    <row r="770069" spans="1:1" x14ac:dyDescent="0.2">
      <c r="A770069" s="97" t="s">
        <v>115</v>
      </c>
    </row>
    <row r="770070" spans="1:1" x14ac:dyDescent="0.2">
      <c r="A770070" s="97" t="s">
        <v>116</v>
      </c>
    </row>
    <row r="770071" spans="1:1" x14ac:dyDescent="0.2">
      <c r="A770071" s="97" t="s">
        <v>117</v>
      </c>
    </row>
    <row r="770072" spans="1:1" x14ac:dyDescent="0.2">
      <c r="A770072" s="97" t="s">
        <v>118</v>
      </c>
    </row>
    <row r="770073" spans="1:1" x14ac:dyDescent="0.2">
      <c r="A770073" s="97" t="s">
        <v>119</v>
      </c>
    </row>
    <row r="770074" spans="1:1" x14ac:dyDescent="0.2">
      <c r="A770074" s="97" t="s">
        <v>120</v>
      </c>
    </row>
    <row r="770075" spans="1:1" x14ac:dyDescent="0.2">
      <c r="A770075" s="97" t="s">
        <v>121</v>
      </c>
    </row>
    <row r="770076" spans="1:1" x14ac:dyDescent="0.2">
      <c r="A770076" s="97" t="s">
        <v>122</v>
      </c>
    </row>
    <row r="770077" spans="1:1" x14ac:dyDescent="0.2">
      <c r="A770077" s="97" t="s">
        <v>123</v>
      </c>
    </row>
    <row r="770078" spans="1:1" x14ac:dyDescent="0.2">
      <c r="A770078" s="97" t="s">
        <v>124</v>
      </c>
    </row>
    <row r="770079" spans="1:1" x14ac:dyDescent="0.2">
      <c r="A770079" s="97" t="s">
        <v>125</v>
      </c>
    </row>
    <row r="770080" spans="1:1" x14ac:dyDescent="0.2">
      <c r="A770080" s="97" t="s">
        <v>126</v>
      </c>
    </row>
    <row r="770081" spans="1:1" x14ac:dyDescent="0.2">
      <c r="A770081" s="97" t="s">
        <v>127</v>
      </c>
    </row>
    <row r="770082" spans="1:1" x14ac:dyDescent="0.2">
      <c r="A770082" s="97" t="s">
        <v>128</v>
      </c>
    </row>
    <row r="770083" spans="1:1" x14ac:dyDescent="0.2">
      <c r="A770083" s="97" t="s">
        <v>129</v>
      </c>
    </row>
    <row r="770084" spans="1:1" x14ac:dyDescent="0.2">
      <c r="A770084" s="97" t="s">
        <v>130</v>
      </c>
    </row>
    <row r="770085" spans="1:1" x14ac:dyDescent="0.2">
      <c r="A770085" s="97" t="s">
        <v>131</v>
      </c>
    </row>
    <row r="770086" spans="1:1" x14ac:dyDescent="0.2">
      <c r="A770086" s="97" t="s">
        <v>132</v>
      </c>
    </row>
    <row r="770087" spans="1:1" x14ac:dyDescent="0.2">
      <c r="A770087" s="97" t="s">
        <v>133</v>
      </c>
    </row>
    <row r="770088" spans="1:1" x14ac:dyDescent="0.2">
      <c r="A770088" s="97" t="s">
        <v>134</v>
      </c>
    </row>
    <row r="770089" spans="1:1" x14ac:dyDescent="0.2">
      <c r="A770089" s="97" t="s">
        <v>135</v>
      </c>
    </row>
    <row r="770090" spans="1:1" x14ac:dyDescent="0.2">
      <c r="A770090" s="97" t="s">
        <v>136</v>
      </c>
    </row>
    <row r="770091" spans="1:1" x14ac:dyDescent="0.2">
      <c r="A770091" s="97" t="s">
        <v>137</v>
      </c>
    </row>
    <row r="770092" spans="1:1" x14ac:dyDescent="0.2">
      <c r="A770092" s="97" t="s">
        <v>138</v>
      </c>
    </row>
    <row r="770093" spans="1:1" x14ac:dyDescent="0.2">
      <c r="A770093" s="97" t="s">
        <v>139</v>
      </c>
    </row>
    <row r="770094" spans="1:1" x14ac:dyDescent="0.2">
      <c r="A770094" s="97" t="s">
        <v>140</v>
      </c>
    </row>
    <row r="770095" spans="1:1" x14ac:dyDescent="0.2">
      <c r="A770095" s="97" t="s">
        <v>141</v>
      </c>
    </row>
    <row r="770096" spans="1:1" x14ac:dyDescent="0.2">
      <c r="A770096" s="97" t="s">
        <v>142</v>
      </c>
    </row>
    <row r="770097" spans="1:1" x14ac:dyDescent="0.2">
      <c r="A770097" s="97" t="s">
        <v>143</v>
      </c>
    </row>
    <row r="770098" spans="1:1" x14ac:dyDescent="0.2">
      <c r="A770098" s="97" t="s">
        <v>144</v>
      </c>
    </row>
    <row r="770099" spans="1:1" x14ac:dyDescent="0.2">
      <c r="A770099" s="97" t="s">
        <v>145</v>
      </c>
    </row>
    <row r="770100" spans="1:1" x14ac:dyDescent="0.2">
      <c r="A770100" s="97" t="s">
        <v>146</v>
      </c>
    </row>
    <row r="770101" spans="1:1" x14ac:dyDescent="0.2">
      <c r="A770101" s="97" t="s">
        <v>147</v>
      </c>
    </row>
    <row r="770102" spans="1:1" x14ac:dyDescent="0.2">
      <c r="A770102" s="97" t="s">
        <v>148</v>
      </c>
    </row>
    <row r="770103" spans="1:1" x14ac:dyDescent="0.2">
      <c r="A770103" s="97" t="s">
        <v>149</v>
      </c>
    </row>
    <row r="770104" spans="1:1" x14ac:dyDescent="0.2">
      <c r="A770104" s="97" t="s">
        <v>150</v>
      </c>
    </row>
    <row r="770105" spans="1:1" x14ac:dyDescent="0.2">
      <c r="A770105" s="97" t="s">
        <v>151</v>
      </c>
    </row>
    <row r="770106" spans="1:1" x14ac:dyDescent="0.2">
      <c r="A770106" s="97" t="s">
        <v>152</v>
      </c>
    </row>
    <row r="770107" spans="1:1" x14ac:dyDescent="0.2">
      <c r="A770107" s="97" t="s">
        <v>153</v>
      </c>
    </row>
    <row r="770108" spans="1:1" x14ac:dyDescent="0.2">
      <c r="A770108" s="97" t="s">
        <v>154</v>
      </c>
    </row>
    <row r="770109" spans="1:1" x14ac:dyDescent="0.2">
      <c r="A770109" s="97" t="s">
        <v>155</v>
      </c>
    </row>
    <row r="770110" spans="1:1" x14ac:dyDescent="0.2">
      <c r="A770110" s="97" t="s">
        <v>156</v>
      </c>
    </row>
    <row r="770111" spans="1:1" x14ac:dyDescent="0.2">
      <c r="A770111" s="97" t="s">
        <v>157</v>
      </c>
    </row>
    <row r="770112" spans="1:1" x14ac:dyDescent="0.2">
      <c r="A770112" s="97" t="s">
        <v>158</v>
      </c>
    </row>
    <row r="770113" spans="1:1" x14ac:dyDescent="0.2">
      <c r="A770113" s="97" t="s">
        <v>159</v>
      </c>
    </row>
    <row r="770114" spans="1:1" x14ac:dyDescent="0.2">
      <c r="A770114" s="97" t="s">
        <v>160</v>
      </c>
    </row>
    <row r="770115" spans="1:1" x14ac:dyDescent="0.2">
      <c r="A770115" s="97" t="s">
        <v>161</v>
      </c>
    </row>
    <row r="770116" spans="1:1" x14ac:dyDescent="0.2">
      <c r="A770116" s="97" t="s">
        <v>162</v>
      </c>
    </row>
    <row r="770117" spans="1:1" x14ac:dyDescent="0.2">
      <c r="A770117" s="97" t="s">
        <v>163</v>
      </c>
    </row>
    <row r="770118" spans="1:1" x14ac:dyDescent="0.2">
      <c r="A770118" s="97" t="s">
        <v>164</v>
      </c>
    </row>
    <row r="770119" spans="1:1" x14ac:dyDescent="0.2">
      <c r="A770119" s="97" t="s">
        <v>165</v>
      </c>
    </row>
    <row r="770120" spans="1:1" x14ac:dyDescent="0.2">
      <c r="A770120" s="97" t="s">
        <v>166</v>
      </c>
    </row>
    <row r="770121" spans="1:1" x14ac:dyDescent="0.2">
      <c r="A770121" s="97" t="s">
        <v>167</v>
      </c>
    </row>
    <row r="770122" spans="1:1" x14ac:dyDescent="0.2">
      <c r="A770122" s="97" t="s">
        <v>168</v>
      </c>
    </row>
    <row r="770123" spans="1:1" x14ac:dyDescent="0.2">
      <c r="A770123" s="97" t="s">
        <v>169</v>
      </c>
    </row>
    <row r="770124" spans="1:1" x14ac:dyDescent="0.2">
      <c r="A770124" s="97" t="s">
        <v>170</v>
      </c>
    </row>
    <row r="770125" spans="1:1" x14ac:dyDescent="0.2">
      <c r="A770125" s="97" t="s">
        <v>171</v>
      </c>
    </row>
    <row r="770126" spans="1:1" x14ac:dyDescent="0.2">
      <c r="A770126" s="97" t="s">
        <v>172</v>
      </c>
    </row>
    <row r="770127" spans="1:1" x14ac:dyDescent="0.2">
      <c r="A770127" s="97" t="s">
        <v>173</v>
      </c>
    </row>
    <row r="770128" spans="1:1" x14ac:dyDescent="0.2">
      <c r="A770128" s="97" t="s">
        <v>174</v>
      </c>
    </row>
    <row r="770129" spans="1:1" x14ac:dyDescent="0.2">
      <c r="A770129" s="97" t="s">
        <v>175</v>
      </c>
    </row>
    <row r="770130" spans="1:1" x14ac:dyDescent="0.2">
      <c r="A770130" s="97" t="s">
        <v>176</v>
      </c>
    </row>
    <row r="770131" spans="1:1" x14ac:dyDescent="0.2">
      <c r="A770131" s="97" t="s">
        <v>177</v>
      </c>
    </row>
    <row r="770132" spans="1:1" x14ac:dyDescent="0.2">
      <c r="A770132" s="97" t="s">
        <v>178</v>
      </c>
    </row>
    <row r="770133" spans="1:1" x14ac:dyDescent="0.2">
      <c r="A770133" s="97" t="s">
        <v>179</v>
      </c>
    </row>
    <row r="770134" spans="1:1" x14ac:dyDescent="0.2">
      <c r="A770134" s="97" t="s">
        <v>180</v>
      </c>
    </row>
    <row r="770135" spans="1:1" x14ac:dyDescent="0.2">
      <c r="A770135" s="97" t="s">
        <v>181</v>
      </c>
    </row>
    <row r="770136" spans="1:1" x14ac:dyDescent="0.2">
      <c r="A770136" s="97" t="s">
        <v>182</v>
      </c>
    </row>
    <row r="770137" spans="1:1" x14ac:dyDescent="0.2">
      <c r="A770137" s="97" t="s">
        <v>183</v>
      </c>
    </row>
    <row r="786433" spans="1:1" x14ac:dyDescent="0.2">
      <c r="A786433" s="97" t="s">
        <v>95</v>
      </c>
    </row>
    <row r="786434" spans="1:1" x14ac:dyDescent="0.2">
      <c r="A786434" s="97" t="s">
        <v>96</v>
      </c>
    </row>
    <row r="786435" spans="1:1" x14ac:dyDescent="0.2">
      <c r="A786435" s="97" t="s">
        <v>97</v>
      </c>
    </row>
    <row r="786436" spans="1:1" x14ac:dyDescent="0.2">
      <c r="A786436" s="97" t="s">
        <v>98</v>
      </c>
    </row>
    <row r="786437" spans="1:1" x14ac:dyDescent="0.2">
      <c r="A786437" s="97" t="s">
        <v>99</v>
      </c>
    </row>
    <row r="786438" spans="1:1" x14ac:dyDescent="0.2">
      <c r="A786438" s="97" t="s">
        <v>100</v>
      </c>
    </row>
    <row r="786439" spans="1:1" x14ac:dyDescent="0.2">
      <c r="A786439" s="97" t="s">
        <v>101</v>
      </c>
    </row>
    <row r="786440" spans="1:1" x14ac:dyDescent="0.2">
      <c r="A786440" s="97" t="s">
        <v>102</v>
      </c>
    </row>
    <row r="786441" spans="1:1" x14ac:dyDescent="0.2">
      <c r="A786441" s="97" t="s">
        <v>103</v>
      </c>
    </row>
    <row r="786442" spans="1:1" x14ac:dyDescent="0.2">
      <c r="A786442" s="97" t="s">
        <v>104</v>
      </c>
    </row>
    <row r="786443" spans="1:1" x14ac:dyDescent="0.2">
      <c r="A786443" s="97" t="s">
        <v>105</v>
      </c>
    </row>
    <row r="786444" spans="1:1" x14ac:dyDescent="0.2">
      <c r="A786444" s="97" t="s">
        <v>106</v>
      </c>
    </row>
    <row r="786445" spans="1:1" x14ac:dyDescent="0.2">
      <c r="A786445" s="97" t="s">
        <v>107</v>
      </c>
    </row>
    <row r="786446" spans="1:1" x14ac:dyDescent="0.2">
      <c r="A786446" s="97" t="s">
        <v>108</v>
      </c>
    </row>
    <row r="786447" spans="1:1" x14ac:dyDescent="0.2">
      <c r="A786447" s="97" t="s">
        <v>109</v>
      </c>
    </row>
    <row r="786448" spans="1:1" x14ac:dyDescent="0.2">
      <c r="A786448" s="97" t="s">
        <v>110</v>
      </c>
    </row>
    <row r="786449" spans="1:1" x14ac:dyDescent="0.2">
      <c r="A786449" s="97" t="s">
        <v>111</v>
      </c>
    </row>
    <row r="786450" spans="1:1" x14ac:dyDescent="0.2">
      <c r="A786450" s="97" t="s">
        <v>112</v>
      </c>
    </row>
    <row r="786451" spans="1:1" x14ac:dyDescent="0.2">
      <c r="A786451" s="97" t="s">
        <v>113</v>
      </c>
    </row>
    <row r="786452" spans="1:1" x14ac:dyDescent="0.2">
      <c r="A786452" s="97" t="s">
        <v>114</v>
      </c>
    </row>
    <row r="786453" spans="1:1" x14ac:dyDescent="0.2">
      <c r="A786453" s="97" t="s">
        <v>115</v>
      </c>
    </row>
    <row r="786454" spans="1:1" x14ac:dyDescent="0.2">
      <c r="A786454" s="97" t="s">
        <v>116</v>
      </c>
    </row>
    <row r="786455" spans="1:1" x14ac:dyDescent="0.2">
      <c r="A786455" s="97" t="s">
        <v>117</v>
      </c>
    </row>
    <row r="786456" spans="1:1" x14ac:dyDescent="0.2">
      <c r="A786456" s="97" t="s">
        <v>118</v>
      </c>
    </row>
    <row r="786457" spans="1:1" x14ac:dyDescent="0.2">
      <c r="A786457" s="97" t="s">
        <v>119</v>
      </c>
    </row>
    <row r="786458" spans="1:1" x14ac:dyDescent="0.2">
      <c r="A786458" s="97" t="s">
        <v>120</v>
      </c>
    </row>
    <row r="786459" spans="1:1" x14ac:dyDescent="0.2">
      <c r="A786459" s="97" t="s">
        <v>121</v>
      </c>
    </row>
    <row r="786460" spans="1:1" x14ac:dyDescent="0.2">
      <c r="A786460" s="97" t="s">
        <v>122</v>
      </c>
    </row>
    <row r="786461" spans="1:1" x14ac:dyDescent="0.2">
      <c r="A786461" s="97" t="s">
        <v>123</v>
      </c>
    </row>
    <row r="786462" spans="1:1" x14ac:dyDescent="0.2">
      <c r="A786462" s="97" t="s">
        <v>124</v>
      </c>
    </row>
    <row r="786463" spans="1:1" x14ac:dyDescent="0.2">
      <c r="A786463" s="97" t="s">
        <v>125</v>
      </c>
    </row>
    <row r="786464" spans="1:1" x14ac:dyDescent="0.2">
      <c r="A786464" s="97" t="s">
        <v>126</v>
      </c>
    </row>
    <row r="786465" spans="1:1" x14ac:dyDescent="0.2">
      <c r="A786465" s="97" t="s">
        <v>127</v>
      </c>
    </row>
    <row r="786466" spans="1:1" x14ac:dyDescent="0.2">
      <c r="A786466" s="97" t="s">
        <v>128</v>
      </c>
    </row>
    <row r="786467" spans="1:1" x14ac:dyDescent="0.2">
      <c r="A786467" s="97" t="s">
        <v>129</v>
      </c>
    </row>
    <row r="786468" spans="1:1" x14ac:dyDescent="0.2">
      <c r="A786468" s="97" t="s">
        <v>130</v>
      </c>
    </row>
    <row r="786469" spans="1:1" x14ac:dyDescent="0.2">
      <c r="A786469" s="97" t="s">
        <v>131</v>
      </c>
    </row>
    <row r="786470" spans="1:1" x14ac:dyDescent="0.2">
      <c r="A786470" s="97" t="s">
        <v>132</v>
      </c>
    </row>
    <row r="786471" spans="1:1" x14ac:dyDescent="0.2">
      <c r="A786471" s="97" t="s">
        <v>133</v>
      </c>
    </row>
    <row r="786472" spans="1:1" x14ac:dyDescent="0.2">
      <c r="A786472" s="97" t="s">
        <v>134</v>
      </c>
    </row>
    <row r="786473" spans="1:1" x14ac:dyDescent="0.2">
      <c r="A786473" s="97" t="s">
        <v>135</v>
      </c>
    </row>
    <row r="786474" spans="1:1" x14ac:dyDescent="0.2">
      <c r="A786474" s="97" t="s">
        <v>136</v>
      </c>
    </row>
    <row r="786475" spans="1:1" x14ac:dyDescent="0.2">
      <c r="A786475" s="97" t="s">
        <v>137</v>
      </c>
    </row>
    <row r="786476" spans="1:1" x14ac:dyDescent="0.2">
      <c r="A786476" s="97" t="s">
        <v>138</v>
      </c>
    </row>
    <row r="786477" spans="1:1" x14ac:dyDescent="0.2">
      <c r="A786477" s="97" t="s">
        <v>139</v>
      </c>
    </row>
    <row r="786478" spans="1:1" x14ac:dyDescent="0.2">
      <c r="A786478" s="97" t="s">
        <v>140</v>
      </c>
    </row>
    <row r="786479" spans="1:1" x14ac:dyDescent="0.2">
      <c r="A786479" s="97" t="s">
        <v>141</v>
      </c>
    </row>
    <row r="786480" spans="1:1" x14ac:dyDescent="0.2">
      <c r="A786480" s="97" t="s">
        <v>142</v>
      </c>
    </row>
    <row r="786481" spans="1:1" x14ac:dyDescent="0.2">
      <c r="A786481" s="97" t="s">
        <v>143</v>
      </c>
    </row>
    <row r="786482" spans="1:1" x14ac:dyDescent="0.2">
      <c r="A786482" s="97" t="s">
        <v>144</v>
      </c>
    </row>
    <row r="786483" spans="1:1" x14ac:dyDescent="0.2">
      <c r="A786483" s="97" t="s">
        <v>145</v>
      </c>
    </row>
    <row r="786484" spans="1:1" x14ac:dyDescent="0.2">
      <c r="A786484" s="97" t="s">
        <v>146</v>
      </c>
    </row>
    <row r="786485" spans="1:1" x14ac:dyDescent="0.2">
      <c r="A786485" s="97" t="s">
        <v>147</v>
      </c>
    </row>
    <row r="786486" spans="1:1" x14ac:dyDescent="0.2">
      <c r="A786486" s="97" t="s">
        <v>148</v>
      </c>
    </row>
    <row r="786487" spans="1:1" x14ac:dyDescent="0.2">
      <c r="A786487" s="97" t="s">
        <v>149</v>
      </c>
    </row>
    <row r="786488" spans="1:1" x14ac:dyDescent="0.2">
      <c r="A786488" s="97" t="s">
        <v>150</v>
      </c>
    </row>
    <row r="786489" spans="1:1" x14ac:dyDescent="0.2">
      <c r="A786489" s="97" t="s">
        <v>151</v>
      </c>
    </row>
    <row r="786490" spans="1:1" x14ac:dyDescent="0.2">
      <c r="A786490" s="97" t="s">
        <v>152</v>
      </c>
    </row>
    <row r="786491" spans="1:1" x14ac:dyDescent="0.2">
      <c r="A786491" s="97" t="s">
        <v>153</v>
      </c>
    </row>
    <row r="786492" spans="1:1" x14ac:dyDescent="0.2">
      <c r="A786492" s="97" t="s">
        <v>154</v>
      </c>
    </row>
    <row r="786493" spans="1:1" x14ac:dyDescent="0.2">
      <c r="A786493" s="97" t="s">
        <v>155</v>
      </c>
    </row>
    <row r="786494" spans="1:1" x14ac:dyDescent="0.2">
      <c r="A786494" s="97" t="s">
        <v>156</v>
      </c>
    </row>
    <row r="786495" spans="1:1" x14ac:dyDescent="0.2">
      <c r="A786495" s="97" t="s">
        <v>157</v>
      </c>
    </row>
    <row r="786496" spans="1:1" x14ac:dyDescent="0.2">
      <c r="A786496" s="97" t="s">
        <v>158</v>
      </c>
    </row>
    <row r="786497" spans="1:1" x14ac:dyDescent="0.2">
      <c r="A786497" s="97" t="s">
        <v>159</v>
      </c>
    </row>
    <row r="786498" spans="1:1" x14ac:dyDescent="0.2">
      <c r="A786498" s="97" t="s">
        <v>160</v>
      </c>
    </row>
    <row r="786499" spans="1:1" x14ac:dyDescent="0.2">
      <c r="A786499" s="97" t="s">
        <v>161</v>
      </c>
    </row>
    <row r="786500" spans="1:1" x14ac:dyDescent="0.2">
      <c r="A786500" s="97" t="s">
        <v>162</v>
      </c>
    </row>
    <row r="786501" spans="1:1" x14ac:dyDescent="0.2">
      <c r="A786501" s="97" t="s">
        <v>163</v>
      </c>
    </row>
    <row r="786502" spans="1:1" x14ac:dyDescent="0.2">
      <c r="A786502" s="97" t="s">
        <v>164</v>
      </c>
    </row>
    <row r="786503" spans="1:1" x14ac:dyDescent="0.2">
      <c r="A786503" s="97" t="s">
        <v>165</v>
      </c>
    </row>
    <row r="786504" spans="1:1" x14ac:dyDescent="0.2">
      <c r="A786504" s="97" t="s">
        <v>166</v>
      </c>
    </row>
    <row r="786505" spans="1:1" x14ac:dyDescent="0.2">
      <c r="A786505" s="97" t="s">
        <v>167</v>
      </c>
    </row>
    <row r="786506" spans="1:1" x14ac:dyDescent="0.2">
      <c r="A786506" s="97" t="s">
        <v>168</v>
      </c>
    </row>
    <row r="786507" spans="1:1" x14ac:dyDescent="0.2">
      <c r="A786507" s="97" t="s">
        <v>169</v>
      </c>
    </row>
    <row r="786508" spans="1:1" x14ac:dyDescent="0.2">
      <c r="A786508" s="97" t="s">
        <v>170</v>
      </c>
    </row>
    <row r="786509" spans="1:1" x14ac:dyDescent="0.2">
      <c r="A786509" s="97" t="s">
        <v>171</v>
      </c>
    </row>
    <row r="786510" spans="1:1" x14ac:dyDescent="0.2">
      <c r="A786510" s="97" t="s">
        <v>172</v>
      </c>
    </row>
    <row r="786511" spans="1:1" x14ac:dyDescent="0.2">
      <c r="A786511" s="97" t="s">
        <v>173</v>
      </c>
    </row>
    <row r="786512" spans="1:1" x14ac:dyDescent="0.2">
      <c r="A786512" s="97" t="s">
        <v>174</v>
      </c>
    </row>
    <row r="786513" spans="1:1" x14ac:dyDescent="0.2">
      <c r="A786513" s="97" t="s">
        <v>175</v>
      </c>
    </row>
    <row r="786514" spans="1:1" x14ac:dyDescent="0.2">
      <c r="A786514" s="97" t="s">
        <v>176</v>
      </c>
    </row>
    <row r="786515" spans="1:1" x14ac:dyDescent="0.2">
      <c r="A786515" s="97" t="s">
        <v>177</v>
      </c>
    </row>
    <row r="786516" spans="1:1" x14ac:dyDescent="0.2">
      <c r="A786516" s="97" t="s">
        <v>178</v>
      </c>
    </row>
    <row r="786517" spans="1:1" x14ac:dyDescent="0.2">
      <c r="A786517" s="97" t="s">
        <v>179</v>
      </c>
    </row>
    <row r="786518" spans="1:1" x14ac:dyDescent="0.2">
      <c r="A786518" s="97" t="s">
        <v>180</v>
      </c>
    </row>
    <row r="786519" spans="1:1" x14ac:dyDescent="0.2">
      <c r="A786519" s="97" t="s">
        <v>181</v>
      </c>
    </row>
    <row r="786520" spans="1:1" x14ac:dyDescent="0.2">
      <c r="A786520" s="97" t="s">
        <v>182</v>
      </c>
    </row>
    <row r="786521" spans="1:1" x14ac:dyDescent="0.2">
      <c r="A786521" s="97" t="s">
        <v>183</v>
      </c>
    </row>
    <row r="802817" spans="1:1" x14ac:dyDescent="0.2">
      <c r="A802817" s="97" t="s">
        <v>95</v>
      </c>
    </row>
    <row r="802818" spans="1:1" x14ac:dyDescent="0.2">
      <c r="A802818" s="97" t="s">
        <v>96</v>
      </c>
    </row>
    <row r="802819" spans="1:1" x14ac:dyDescent="0.2">
      <c r="A802819" s="97" t="s">
        <v>97</v>
      </c>
    </row>
    <row r="802820" spans="1:1" x14ac:dyDescent="0.2">
      <c r="A802820" s="97" t="s">
        <v>98</v>
      </c>
    </row>
    <row r="802821" spans="1:1" x14ac:dyDescent="0.2">
      <c r="A802821" s="97" t="s">
        <v>99</v>
      </c>
    </row>
    <row r="802822" spans="1:1" x14ac:dyDescent="0.2">
      <c r="A802822" s="97" t="s">
        <v>100</v>
      </c>
    </row>
    <row r="802823" spans="1:1" x14ac:dyDescent="0.2">
      <c r="A802823" s="97" t="s">
        <v>101</v>
      </c>
    </row>
    <row r="802824" spans="1:1" x14ac:dyDescent="0.2">
      <c r="A802824" s="97" t="s">
        <v>102</v>
      </c>
    </row>
    <row r="802825" spans="1:1" x14ac:dyDescent="0.2">
      <c r="A802825" s="97" t="s">
        <v>103</v>
      </c>
    </row>
    <row r="802826" spans="1:1" x14ac:dyDescent="0.2">
      <c r="A802826" s="97" t="s">
        <v>104</v>
      </c>
    </row>
    <row r="802827" spans="1:1" x14ac:dyDescent="0.2">
      <c r="A802827" s="97" t="s">
        <v>105</v>
      </c>
    </row>
    <row r="802828" spans="1:1" x14ac:dyDescent="0.2">
      <c r="A802828" s="97" t="s">
        <v>106</v>
      </c>
    </row>
    <row r="802829" spans="1:1" x14ac:dyDescent="0.2">
      <c r="A802829" s="97" t="s">
        <v>107</v>
      </c>
    </row>
    <row r="802830" spans="1:1" x14ac:dyDescent="0.2">
      <c r="A802830" s="97" t="s">
        <v>108</v>
      </c>
    </row>
    <row r="802831" spans="1:1" x14ac:dyDescent="0.2">
      <c r="A802831" s="97" t="s">
        <v>109</v>
      </c>
    </row>
    <row r="802832" spans="1:1" x14ac:dyDescent="0.2">
      <c r="A802832" s="97" t="s">
        <v>110</v>
      </c>
    </row>
    <row r="802833" spans="1:1" x14ac:dyDescent="0.2">
      <c r="A802833" s="97" t="s">
        <v>111</v>
      </c>
    </row>
    <row r="802834" spans="1:1" x14ac:dyDescent="0.2">
      <c r="A802834" s="97" t="s">
        <v>112</v>
      </c>
    </row>
    <row r="802835" spans="1:1" x14ac:dyDescent="0.2">
      <c r="A802835" s="97" t="s">
        <v>113</v>
      </c>
    </row>
    <row r="802836" spans="1:1" x14ac:dyDescent="0.2">
      <c r="A802836" s="97" t="s">
        <v>114</v>
      </c>
    </row>
    <row r="802837" spans="1:1" x14ac:dyDescent="0.2">
      <c r="A802837" s="97" t="s">
        <v>115</v>
      </c>
    </row>
    <row r="802838" spans="1:1" x14ac:dyDescent="0.2">
      <c r="A802838" s="97" t="s">
        <v>116</v>
      </c>
    </row>
    <row r="802839" spans="1:1" x14ac:dyDescent="0.2">
      <c r="A802839" s="97" t="s">
        <v>117</v>
      </c>
    </row>
    <row r="802840" spans="1:1" x14ac:dyDescent="0.2">
      <c r="A802840" s="97" t="s">
        <v>118</v>
      </c>
    </row>
    <row r="802841" spans="1:1" x14ac:dyDescent="0.2">
      <c r="A802841" s="97" t="s">
        <v>119</v>
      </c>
    </row>
    <row r="802842" spans="1:1" x14ac:dyDescent="0.2">
      <c r="A802842" s="97" t="s">
        <v>120</v>
      </c>
    </row>
    <row r="802843" spans="1:1" x14ac:dyDescent="0.2">
      <c r="A802843" s="97" t="s">
        <v>121</v>
      </c>
    </row>
    <row r="802844" spans="1:1" x14ac:dyDescent="0.2">
      <c r="A802844" s="97" t="s">
        <v>122</v>
      </c>
    </row>
    <row r="802845" spans="1:1" x14ac:dyDescent="0.2">
      <c r="A802845" s="97" t="s">
        <v>123</v>
      </c>
    </row>
    <row r="802846" spans="1:1" x14ac:dyDescent="0.2">
      <c r="A802846" s="97" t="s">
        <v>124</v>
      </c>
    </row>
    <row r="802847" spans="1:1" x14ac:dyDescent="0.2">
      <c r="A802847" s="97" t="s">
        <v>125</v>
      </c>
    </row>
    <row r="802848" spans="1:1" x14ac:dyDescent="0.2">
      <c r="A802848" s="97" t="s">
        <v>126</v>
      </c>
    </row>
    <row r="802849" spans="1:1" x14ac:dyDescent="0.2">
      <c r="A802849" s="97" t="s">
        <v>127</v>
      </c>
    </row>
    <row r="802850" spans="1:1" x14ac:dyDescent="0.2">
      <c r="A802850" s="97" t="s">
        <v>128</v>
      </c>
    </row>
    <row r="802851" spans="1:1" x14ac:dyDescent="0.2">
      <c r="A802851" s="97" t="s">
        <v>129</v>
      </c>
    </row>
    <row r="802852" spans="1:1" x14ac:dyDescent="0.2">
      <c r="A802852" s="97" t="s">
        <v>130</v>
      </c>
    </row>
    <row r="802853" spans="1:1" x14ac:dyDescent="0.2">
      <c r="A802853" s="97" t="s">
        <v>131</v>
      </c>
    </row>
    <row r="802854" spans="1:1" x14ac:dyDescent="0.2">
      <c r="A802854" s="97" t="s">
        <v>132</v>
      </c>
    </row>
    <row r="802855" spans="1:1" x14ac:dyDescent="0.2">
      <c r="A802855" s="97" t="s">
        <v>133</v>
      </c>
    </row>
    <row r="802856" spans="1:1" x14ac:dyDescent="0.2">
      <c r="A802856" s="97" t="s">
        <v>134</v>
      </c>
    </row>
    <row r="802857" spans="1:1" x14ac:dyDescent="0.2">
      <c r="A802857" s="97" t="s">
        <v>135</v>
      </c>
    </row>
    <row r="802858" spans="1:1" x14ac:dyDescent="0.2">
      <c r="A802858" s="97" t="s">
        <v>136</v>
      </c>
    </row>
    <row r="802859" spans="1:1" x14ac:dyDescent="0.2">
      <c r="A802859" s="97" t="s">
        <v>137</v>
      </c>
    </row>
    <row r="802860" spans="1:1" x14ac:dyDescent="0.2">
      <c r="A802860" s="97" t="s">
        <v>138</v>
      </c>
    </row>
    <row r="802861" spans="1:1" x14ac:dyDescent="0.2">
      <c r="A802861" s="97" t="s">
        <v>139</v>
      </c>
    </row>
    <row r="802862" spans="1:1" x14ac:dyDescent="0.2">
      <c r="A802862" s="97" t="s">
        <v>140</v>
      </c>
    </row>
    <row r="802863" spans="1:1" x14ac:dyDescent="0.2">
      <c r="A802863" s="97" t="s">
        <v>141</v>
      </c>
    </row>
    <row r="802864" spans="1:1" x14ac:dyDescent="0.2">
      <c r="A802864" s="97" t="s">
        <v>142</v>
      </c>
    </row>
    <row r="802865" spans="1:1" x14ac:dyDescent="0.2">
      <c r="A802865" s="97" t="s">
        <v>143</v>
      </c>
    </row>
    <row r="802866" spans="1:1" x14ac:dyDescent="0.2">
      <c r="A802866" s="97" t="s">
        <v>144</v>
      </c>
    </row>
    <row r="802867" spans="1:1" x14ac:dyDescent="0.2">
      <c r="A802867" s="97" t="s">
        <v>145</v>
      </c>
    </row>
    <row r="802868" spans="1:1" x14ac:dyDescent="0.2">
      <c r="A802868" s="97" t="s">
        <v>146</v>
      </c>
    </row>
    <row r="802869" spans="1:1" x14ac:dyDescent="0.2">
      <c r="A802869" s="97" t="s">
        <v>147</v>
      </c>
    </row>
    <row r="802870" spans="1:1" x14ac:dyDescent="0.2">
      <c r="A802870" s="97" t="s">
        <v>148</v>
      </c>
    </row>
    <row r="802871" spans="1:1" x14ac:dyDescent="0.2">
      <c r="A802871" s="97" t="s">
        <v>149</v>
      </c>
    </row>
    <row r="802872" spans="1:1" x14ac:dyDescent="0.2">
      <c r="A802872" s="97" t="s">
        <v>150</v>
      </c>
    </row>
    <row r="802873" spans="1:1" x14ac:dyDescent="0.2">
      <c r="A802873" s="97" t="s">
        <v>151</v>
      </c>
    </row>
    <row r="802874" spans="1:1" x14ac:dyDescent="0.2">
      <c r="A802874" s="97" t="s">
        <v>152</v>
      </c>
    </row>
    <row r="802875" spans="1:1" x14ac:dyDescent="0.2">
      <c r="A802875" s="97" t="s">
        <v>153</v>
      </c>
    </row>
    <row r="802876" spans="1:1" x14ac:dyDescent="0.2">
      <c r="A802876" s="97" t="s">
        <v>154</v>
      </c>
    </row>
    <row r="802877" spans="1:1" x14ac:dyDescent="0.2">
      <c r="A802877" s="97" t="s">
        <v>155</v>
      </c>
    </row>
    <row r="802878" spans="1:1" x14ac:dyDescent="0.2">
      <c r="A802878" s="97" t="s">
        <v>156</v>
      </c>
    </row>
    <row r="802879" spans="1:1" x14ac:dyDescent="0.2">
      <c r="A802879" s="97" t="s">
        <v>157</v>
      </c>
    </row>
    <row r="802880" spans="1:1" x14ac:dyDescent="0.2">
      <c r="A802880" s="97" t="s">
        <v>158</v>
      </c>
    </row>
    <row r="802881" spans="1:1" x14ac:dyDescent="0.2">
      <c r="A802881" s="97" t="s">
        <v>159</v>
      </c>
    </row>
    <row r="802882" spans="1:1" x14ac:dyDescent="0.2">
      <c r="A802882" s="97" t="s">
        <v>160</v>
      </c>
    </row>
    <row r="802883" spans="1:1" x14ac:dyDescent="0.2">
      <c r="A802883" s="97" t="s">
        <v>161</v>
      </c>
    </row>
    <row r="802884" spans="1:1" x14ac:dyDescent="0.2">
      <c r="A802884" s="97" t="s">
        <v>162</v>
      </c>
    </row>
    <row r="802885" spans="1:1" x14ac:dyDescent="0.2">
      <c r="A802885" s="97" t="s">
        <v>163</v>
      </c>
    </row>
    <row r="802886" spans="1:1" x14ac:dyDescent="0.2">
      <c r="A802886" s="97" t="s">
        <v>164</v>
      </c>
    </row>
    <row r="802887" spans="1:1" x14ac:dyDescent="0.2">
      <c r="A802887" s="97" t="s">
        <v>165</v>
      </c>
    </row>
    <row r="802888" spans="1:1" x14ac:dyDescent="0.2">
      <c r="A802888" s="97" t="s">
        <v>166</v>
      </c>
    </row>
    <row r="802889" spans="1:1" x14ac:dyDescent="0.2">
      <c r="A802889" s="97" t="s">
        <v>167</v>
      </c>
    </row>
    <row r="802890" spans="1:1" x14ac:dyDescent="0.2">
      <c r="A802890" s="97" t="s">
        <v>168</v>
      </c>
    </row>
    <row r="802891" spans="1:1" x14ac:dyDescent="0.2">
      <c r="A802891" s="97" t="s">
        <v>169</v>
      </c>
    </row>
    <row r="802892" spans="1:1" x14ac:dyDescent="0.2">
      <c r="A802892" s="97" t="s">
        <v>170</v>
      </c>
    </row>
    <row r="802893" spans="1:1" x14ac:dyDescent="0.2">
      <c r="A802893" s="97" t="s">
        <v>171</v>
      </c>
    </row>
    <row r="802894" spans="1:1" x14ac:dyDescent="0.2">
      <c r="A802894" s="97" t="s">
        <v>172</v>
      </c>
    </row>
    <row r="802895" spans="1:1" x14ac:dyDescent="0.2">
      <c r="A802895" s="97" t="s">
        <v>173</v>
      </c>
    </row>
    <row r="802896" spans="1:1" x14ac:dyDescent="0.2">
      <c r="A802896" s="97" t="s">
        <v>174</v>
      </c>
    </row>
    <row r="802897" spans="1:1" x14ac:dyDescent="0.2">
      <c r="A802897" s="97" t="s">
        <v>175</v>
      </c>
    </row>
    <row r="802898" spans="1:1" x14ac:dyDescent="0.2">
      <c r="A802898" s="97" t="s">
        <v>176</v>
      </c>
    </row>
    <row r="802899" spans="1:1" x14ac:dyDescent="0.2">
      <c r="A802899" s="97" t="s">
        <v>177</v>
      </c>
    </row>
    <row r="802900" spans="1:1" x14ac:dyDescent="0.2">
      <c r="A802900" s="97" t="s">
        <v>178</v>
      </c>
    </row>
    <row r="802901" spans="1:1" x14ac:dyDescent="0.2">
      <c r="A802901" s="97" t="s">
        <v>179</v>
      </c>
    </row>
    <row r="802902" spans="1:1" x14ac:dyDescent="0.2">
      <c r="A802902" s="97" t="s">
        <v>180</v>
      </c>
    </row>
    <row r="802903" spans="1:1" x14ac:dyDescent="0.2">
      <c r="A802903" s="97" t="s">
        <v>181</v>
      </c>
    </row>
    <row r="802904" spans="1:1" x14ac:dyDescent="0.2">
      <c r="A802904" s="97" t="s">
        <v>182</v>
      </c>
    </row>
    <row r="802905" spans="1:1" x14ac:dyDescent="0.2">
      <c r="A802905" s="97" t="s">
        <v>183</v>
      </c>
    </row>
    <row r="819201" spans="1:1" x14ac:dyDescent="0.2">
      <c r="A819201" s="97" t="s">
        <v>95</v>
      </c>
    </row>
    <row r="819202" spans="1:1" x14ac:dyDescent="0.2">
      <c r="A819202" s="97" t="s">
        <v>96</v>
      </c>
    </row>
    <row r="819203" spans="1:1" x14ac:dyDescent="0.2">
      <c r="A819203" s="97" t="s">
        <v>97</v>
      </c>
    </row>
    <row r="819204" spans="1:1" x14ac:dyDescent="0.2">
      <c r="A819204" s="97" t="s">
        <v>98</v>
      </c>
    </row>
    <row r="819205" spans="1:1" x14ac:dyDescent="0.2">
      <c r="A819205" s="97" t="s">
        <v>99</v>
      </c>
    </row>
    <row r="819206" spans="1:1" x14ac:dyDescent="0.2">
      <c r="A819206" s="97" t="s">
        <v>100</v>
      </c>
    </row>
    <row r="819207" spans="1:1" x14ac:dyDescent="0.2">
      <c r="A819207" s="97" t="s">
        <v>101</v>
      </c>
    </row>
    <row r="819208" spans="1:1" x14ac:dyDescent="0.2">
      <c r="A819208" s="97" t="s">
        <v>102</v>
      </c>
    </row>
    <row r="819209" spans="1:1" x14ac:dyDescent="0.2">
      <c r="A819209" s="97" t="s">
        <v>103</v>
      </c>
    </row>
    <row r="819210" spans="1:1" x14ac:dyDescent="0.2">
      <c r="A819210" s="97" t="s">
        <v>104</v>
      </c>
    </row>
    <row r="819211" spans="1:1" x14ac:dyDescent="0.2">
      <c r="A819211" s="97" t="s">
        <v>105</v>
      </c>
    </row>
    <row r="819212" spans="1:1" x14ac:dyDescent="0.2">
      <c r="A819212" s="97" t="s">
        <v>106</v>
      </c>
    </row>
    <row r="819213" spans="1:1" x14ac:dyDescent="0.2">
      <c r="A819213" s="97" t="s">
        <v>107</v>
      </c>
    </row>
    <row r="819214" spans="1:1" x14ac:dyDescent="0.2">
      <c r="A819214" s="97" t="s">
        <v>108</v>
      </c>
    </row>
    <row r="819215" spans="1:1" x14ac:dyDescent="0.2">
      <c r="A819215" s="97" t="s">
        <v>109</v>
      </c>
    </row>
    <row r="819216" spans="1:1" x14ac:dyDescent="0.2">
      <c r="A819216" s="97" t="s">
        <v>110</v>
      </c>
    </row>
    <row r="819217" spans="1:1" x14ac:dyDescent="0.2">
      <c r="A819217" s="97" t="s">
        <v>111</v>
      </c>
    </row>
    <row r="819218" spans="1:1" x14ac:dyDescent="0.2">
      <c r="A819218" s="97" t="s">
        <v>112</v>
      </c>
    </row>
    <row r="819219" spans="1:1" x14ac:dyDescent="0.2">
      <c r="A819219" s="97" t="s">
        <v>113</v>
      </c>
    </row>
    <row r="819220" spans="1:1" x14ac:dyDescent="0.2">
      <c r="A819220" s="97" t="s">
        <v>114</v>
      </c>
    </row>
    <row r="819221" spans="1:1" x14ac:dyDescent="0.2">
      <c r="A819221" s="97" t="s">
        <v>115</v>
      </c>
    </row>
    <row r="819222" spans="1:1" x14ac:dyDescent="0.2">
      <c r="A819222" s="97" t="s">
        <v>116</v>
      </c>
    </row>
    <row r="819223" spans="1:1" x14ac:dyDescent="0.2">
      <c r="A819223" s="97" t="s">
        <v>117</v>
      </c>
    </row>
    <row r="819224" spans="1:1" x14ac:dyDescent="0.2">
      <c r="A819224" s="97" t="s">
        <v>118</v>
      </c>
    </row>
    <row r="819225" spans="1:1" x14ac:dyDescent="0.2">
      <c r="A819225" s="97" t="s">
        <v>119</v>
      </c>
    </row>
    <row r="819226" spans="1:1" x14ac:dyDescent="0.2">
      <c r="A819226" s="97" t="s">
        <v>120</v>
      </c>
    </row>
    <row r="819227" spans="1:1" x14ac:dyDescent="0.2">
      <c r="A819227" s="97" t="s">
        <v>121</v>
      </c>
    </row>
    <row r="819228" spans="1:1" x14ac:dyDescent="0.2">
      <c r="A819228" s="97" t="s">
        <v>122</v>
      </c>
    </row>
    <row r="819229" spans="1:1" x14ac:dyDescent="0.2">
      <c r="A819229" s="97" t="s">
        <v>123</v>
      </c>
    </row>
    <row r="819230" spans="1:1" x14ac:dyDescent="0.2">
      <c r="A819230" s="97" t="s">
        <v>124</v>
      </c>
    </row>
    <row r="819231" spans="1:1" x14ac:dyDescent="0.2">
      <c r="A819231" s="97" t="s">
        <v>125</v>
      </c>
    </row>
    <row r="819232" spans="1:1" x14ac:dyDescent="0.2">
      <c r="A819232" s="97" t="s">
        <v>126</v>
      </c>
    </row>
    <row r="819233" spans="1:1" x14ac:dyDescent="0.2">
      <c r="A819233" s="97" t="s">
        <v>127</v>
      </c>
    </row>
    <row r="819234" spans="1:1" x14ac:dyDescent="0.2">
      <c r="A819234" s="97" t="s">
        <v>128</v>
      </c>
    </row>
    <row r="819235" spans="1:1" x14ac:dyDescent="0.2">
      <c r="A819235" s="97" t="s">
        <v>129</v>
      </c>
    </row>
    <row r="819236" spans="1:1" x14ac:dyDescent="0.2">
      <c r="A819236" s="97" t="s">
        <v>130</v>
      </c>
    </row>
    <row r="819237" spans="1:1" x14ac:dyDescent="0.2">
      <c r="A819237" s="97" t="s">
        <v>131</v>
      </c>
    </row>
    <row r="819238" spans="1:1" x14ac:dyDescent="0.2">
      <c r="A819238" s="97" t="s">
        <v>132</v>
      </c>
    </row>
    <row r="819239" spans="1:1" x14ac:dyDescent="0.2">
      <c r="A819239" s="97" t="s">
        <v>133</v>
      </c>
    </row>
    <row r="819240" spans="1:1" x14ac:dyDescent="0.2">
      <c r="A819240" s="97" t="s">
        <v>134</v>
      </c>
    </row>
    <row r="819241" spans="1:1" x14ac:dyDescent="0.2">
      <c r="A819241" s="97" t="s">
        <v>135</v>
      </c>
    </row>
    <row r="819242" spans="1:1" x14ac:dyDescent="0.2">
      <c r="A819242" s="97" t="s">
        <v>136</v>
      </c>
    </row>
    <row r="819243" spans="1:1" x14ac:dyDescent="0.2">
      <c r="A819243" s="97" t="s">
        <v>137</v>
      </c>
    </row>
    <row r="819244" spans="1:1" x14ac:dyDescent="0.2">
      <c r="A819244" s="97" t="s">
        <v>138</v>
      </c>
    </row>
    <row r="819245" spans="1:1" x14ac:dyDescent="0.2">
      <c r="A819245" s="97" t="s">
        <v>139</v>
      </c>
    </row>
    <row r="819246" spans="1:1" x14ac:dyDescent="0.2">
      <c r="A819246" s="97" t="s">
        <v>140</v>
      </c>
    </row>
    <row r="819247" spans="1:1" x14ac:dyDescent="0.2">
      <c r="A819247" s="97" t="s">
        <v>141</v>
      </c>
    </row>
    <row r="819248" spans="1:1" x14ac:dyDescent="0.2">
      <c r="A819248" s="97" t="s">
        <v>142</v>
      </c>
    </row>
    <row r="819249" spans="1:1" x14ac:dyDescent="0.2">
      <c r="A819249" s="97" t="s">
        <v>143</v>
      </c>
    </row>
    <row r="819250" spans="1:1" x14ac:dyDescent="0.2">
      <c r="A819250" s="97" t="s">
        <v>144</v>
      </c>
    </row>
    <row r="819251" spans="1:1" x14ac:dyDescent="0.2">
      <c r="A819251" s="97" t="s">
        <v>145</v>
      </c>
    </row>
    <row r="819252" spans="1:1" x14ac:dyDescent="0.2">
      <c r="A819252" s="97" t="s">
        <v>146</v>
      </c>
    </row>
    <row r="819253" spans="1:1" x14ac:dyDescent="0.2">
      <c r="A819253" s="97" t="s">
        <v>147</v>
      </c>
    </row>
    <row r="819254" spans="1:1" x14ac:dyDescent="0.2">
      <c r="A819254" s="97" t="s">
        <v>148</v>
      </c>
    </row>
    <row r="819255" spans="1:1" x14ac:dyDescent="0.2">
      <c r="A819255" s="97" t="s">
        <v>149</v>
      </c>
    </row>
    <row r="819256" spans="1:1" x14ac:dyDescent="0.2">
      <c r="A819256" s="97" t="s">
        <v>150</v>
      </c>
    </row>
    <row r="819257" spans="1:1" x14ac:dyDescent="0.2">
      <c r="A819257" s="97" t="s">
        <v>151</v>
      </c>
    </row>
    <row r="819258" spans="1:1" x14ac:dyDescent="0.2">
      <c r="A819258" s="97" t="s">
        <v>152</v>
      </c>
    </row>
    <row r="819259" spans="1:1" x14ac:dyDescent="0.2">
      <c r="A819259" s="97" t="s">
        <v>153</v>
      </c>
    </row>
    <row r="819260" spans="1:1" x14ac:dyDescent="0.2">
      <c r="A819260" s="97" t="s">
        <v>154</v>
      </c>
    </row>
    <row r="819261" spans="1:1" x14ac:dyDescent="0.2">
      <c r="A819261" s="97" t="s">
        <v>155</v>
      </c>
    </row>
    <row r="819262" spans="1:1" x14ac:dyDescent="0.2">
      <c r="A819262" s="97" t="s">
        <v>156</v>
      </c>
    </row>
    <row r="819263" spans="1:1" x14ac:dyDescent="0.2">
      <c r="A819263" s="97" t="s">
        <v>157</v>
      </c>
    </row>
    <row r="819264" spans="1:1" x14ac:dyDescent="0.2">
      <c r="A819264" s="97" t="s">
        <v>158</v>
      </c>
    </row>
    <row r="819265" spans="1:1" x14ac:dyDescent="0.2">
      <c r="A819265" s="97" t="s">
        <v>159</v>
      </c>
    </row>
    <row r="819266" spans="1:1" x14ac:dyDescent="0.2">
      <c r="A819266" s="97" t="s">
        <v>160</v>
      </c>
    </row>
    <row r="819267" spans="1:1" x14ac:dyDescent="0.2">
      <c r="A819267" s="97" t="s">
        <v>161</v>
      </c>
    </row>
    <row r="819268" spans="1:1" x14ac:dyDescent="0.2">
      <c r="A819268" s="97" t="s">
        <v>162</v>
      </c>
    </row>
    <row r="819269" spans="1:1" x14ac:dyDescent="0.2">
      <c r="A819269" s="97" t="s">
        <v>163</v>
      </c>
    </row>
    <row r="819270" spans="1:1" x14ac:dyDescent="0.2">
      <c r="A819270" s="97" t="s">
        <v>164</v>
      </c>
    </row>
    <row r="819271" spans="1:1" x14ac:dyDescent="0.2">
      <c r="A819271" s="97" t="s">
        <v>165</v>
      </c>
    </row>
    <row r="819272" spans="1:1" x14ac:dyDescent="0.2">
      <c r="A819272" s="97" t="s">
        <v>166</v>
      </c>
    </row>
    <row r="819273" spans="1:1" x14ac:dyDescent="0.2">
      <c r="A819273" s="97" t="s">
        <v>167</v>
      </c>
    </row>
    <row r="819274" spans="1:1" x14ac:dyDescent="0.2">
      <c r="A819274" s="97" t="s">
        <v>168</v>
      </c>
    </row>
    <row r="819275" spans="1:1" x14ac:dyDescent="0.2">
      <c r="A819275" s="97" t="s">
        <v>169</v>
      </c>
    </row>
    <row r="819276" spans="1:1" x14ac:dyDescent="0.2">
      <c r="A819276" s="97" t="s">
        <v>170</v>
      </c>
    </row>
    <row r="819277" spans="1:1" x14ac:dyDescent="0.2">
      <c r="A819277" s="97" t="s">
        <v>171</v>
      </c>
    </row>
    <row r="819278" spans="1:1" x14ac:dyDescent="0.2">
      <c r="A819278" s="97" t="s">
        <v>172</v>
      </c>
    </row>
    <row r="819279" spans="1:1" x14ac:dyDescent="0.2">
      <c r="A819279" s="97" t="s">
        <v>173</v>
      </c>
    </row>
    <row r="819280" spans="1:1" x14ac:dyDescent="0.2">
      <c r="A819280" s="97" t="s">
        <v>174</v>
      </c>
    </row>
    <row r="819281" spans="1:1" x14ac:dyDescent="0.2">
      <c r="A819281" s="97" t="s">
        <v>175</v>
      </c>
    </row>
    <row r="819282" spans="1:1" x14ac:dyDescent="0.2">
      <c r="A819282" s="97" t="s">
        <v>176</v>
      </c>
    </row>
    <row r="819283" spans="1:1" x14ac:dyDescent="0.2">
      <c r="A819283" s="97" t="s">
        <v>177</v>
      </c>
    </row>
    <row r="819284" spans="1:1" x14ac:dyDescent="0.2">
      <c r="A819284" s="97" t="s">
        <v>178</v>
      </c>
    </row>
    <row r="819285" spans="1:1" x14ac:dyDescent="0.2">
      <c r="A819285" s="97" t="s">
        <v>179</v>
      </c>
    </row>
    <row r="819286" spans="1:1" x14ac:dyDescent="0.2">
      <c r="A819286" s="97" t="s">
        <v>180</v>
      </c>
    </row>
    <row r="819287" spans="1:1" x14ac:dyDescent="0.2">
      <c r="A819287" s="97" t="s">
        <v>181</v>
      </c>
    </row>
    <row r="819288" spans="1:1" x14ac:dyDescent="0.2">
      <c r="A819288" s="97" t="s">
        <v>182</v>
      </c>
    </row>
    <row r="819289" spans="1:1" x14ac:dyDescent="0.2">
      <c r="A819289" s="97" t="s">
        <v>183</v>
      </c>
    </row>
    <row r="835585" spans="1:1" x14ac:dyDescent="0.2">
      <c r="A835585" s="97" t="s">
        <v>95</v>
      </c>
    </row>
    <row r="835586" spans="1:1" x14ac:dyDescent="0.2">
      <c r="A835586" s="97" t="s">
        <v>96</v>
      </c>
    </row>
    <row r="835587" spans="1:1" x14ac:dyDescent="0.2">
      <c r="A835587" s="97" t="s">
        <v>97</v>
      </c>
    </row>
    <row r="835588" spans="1:1" x14ac:dyDescent="0.2">
      <c r="A835588" s="97" t="s">
        <v>98</v>
      </c>
    </row>
    <row r="835589" spans="1:1" x14ac:dyDescent="0.2">
      <c r="A835589" s="97" t="s">
        <v>99</v>
      </c>
    </row>
    <row r="835590" spans="1:1" x14ac:dyDescent="0.2">
      <c r="A835590" s="97" t="s">
        <v>100</v>
      </c>
    </row>
    <row r="835591" spans="1:1" x14ac:dyDescent="0.2">
      <c r="A835591" s="97" t="s">
        <v>101</v>
      </c>
    </row>
    <row r="835592" spans="1:1" x14ac:dyDescent="0.2">
      <c r="A835592" s="97" t="s">
        <v>102</v>
      </c>
    </row>
    <row r="835593" spans="1:1" x14ac:dyDescent="0.2">
      <c r="A835593" s="97" t="s">
        <v>103</v>
      </c>
    </row>
    <row r="835594" spans="1:1" x14ac:dyDescent="0.2">
      <c r="A835594" s="97" t="s">
        <v>104</v>
      </c>
    </row>
    <row r="835595" spans="1:1" x14ac:dyDescent="0.2">
      <c r="A835595" s="97" t="s">
        <v>105</v>
      </c>
    </row>
    <row r="835596" spans="1:1" x14ac:dyDescent="0.2">
      <c r="A835596" s="97" t="s">
        <v>106</v>
      </c>
    </row>
    <row r="835597" spans="1:1" x14ac:dyDescent="0.2">
      <c r="A835597" s="97" t="s">
        <v>107</v>
      </c>
    </row>
    <row r="835598" spans="1:1" x14ac:dyDescent="0.2">
      <c r="A835598" s="97" t="s">
        <v>108</v>
      </c>
    </row>
    <row r="835599" spans="1:1" x14ac:dyDescent="0.2">
      <c r="A835599" s="97" t="s">
        <v>109</v>
      </c>
    </row>
    <row r="835600" spans="1:1" x14ac:dyDescent="0.2">
      <c r="A835600" s="97" t="s">
        <v>110</v>
      </c>
    </row>
    <row r="835601" spans="1:1" x14ac:dyDescent="0.2">
      <c r="A835601" s="97" t="s">
        <v>111</v>
      </c>
    </row>
    <row r="835602" spans="1:1" x14ac:dyDescent="0.2">
      <c r="A835602" s="97" t="s">
        <v>112</v>
      </c>
    </row>
    <row r="835603" spans="1:1" x14ac:dyDescent="0.2">
      <c r="A835603" s="97" t="s">
        <v>113</v>
      </c>
    </row>
    <row r="835604" spans="1:1" x14ac:dyDescent="0.2">
      <c r="A835604" s="97" t="s">
        <v>114</v>
      </c>
    </row>
    <row r="835605" spans="1:1" x14ac:dyDescent="0.2">
      <c r="A835605" s="97" t="s">
        <v>115</v>
      </c>
    </row>
    <row r="835606" spans="1:1" x14ac:dyDescent="0.2">
      <c r="A835606" s="97" t="s">
        <v>116</v>
      </c>
    </row>
    <row r="835607" spans="1:1" x14ac:dyDescent="0.2">
      <c r="A835607" s="97" t="s">
        <v>117</v>
      </c>
    </row>
    <row r="835608" spans="1:1" x14ac:dyDescent="0.2">
      <c r="A835608" s="97" t="s">
        <v>118</v>
      </c>
    </row>
    <row r="835609" spans="1:1" x14ac:dyDescent="0.2">
      <c r="A835609" s="97" t="s">
        <v>119</v>
      </c>
    </row>
    <row r="835610" spans="1:1" x14ac:dyDescent="0.2">
      <c r="A835610" s="97" t="s">
        <v>120</v>
      </c>
    </row>
    <row r="835611" spans="1:1" x14ac:dyDescent="0.2">
      <c r="A835611" s="97" t="s">
        <v>121</v>
      </c>
    </row>
    <row r="835612" spans="1:1" x14ac:dyDescent="0.2">
      <c r="A835612" s="97" t="s">
        <v>122</v>
      </c>
    </row>
    <row r="835613" spans="1:1" x14ac:dyDescent="0.2">
      <c r="A835613" s="97" t="s">
        <v>123</v>
      </c>
    </row>
    <row r="835614" spans="1:1" x14ac:dyDescent="0.2">
      <c r="A835614" s="97" t="s">
        <v>124</v>
      </c>
    </row>
    <row r="835615" spans="1:1" x14ac:dyDescent="0.2">
      <c r="A835615" s="97" t="s">
        <v>125</v>
      </c>
    </row>
    <row r="835616" spans="1:1" x14ac:dyDescent="0.2">
      <c r="A835616" s="97" t="s">
        <v>126</v>
      </c>
    </row>
    <row r="835617" spans="1:1" x14ac:dyDescent="0.2">
      <c r="A835617" s="97" t="s">
        <v>127</v>
      </c>
    </row>
    <row r="835618" spans="1:1" x14ac:dyDescent="0.2">
      <c r="A835618" s="97" t="s">
        <v>128</v>
      </c>
    </row>
    <row r="835619" spans="1:1" x14ac:dyDescent="0.2">
      <c r="A835619" s="97" t="s">
        <v>129</v>
      </c>
    </row>
    <row r="835620" spans="1:1" x14ac:dyDescent="0.2">
      <c r="A835620" s="97" t="s">
        <v>130</v>
      </c>
    </row>
    <row r="835621" spans="1:1" x14ac:dyDescent="0.2">
      <c r="A835621" s="97" t="s">
        <v>131</v>
      </c>
    </row>
    <row r="835622" spans="1:1" x14ac:dyDescent="0.2">
      <c r="A835622" s="97" t="s">
        <v>132</v>
      </c>
    </row>
    <row r="835623" spans="1:1" x14ac:dyDescent="0.2">
      <c r="A835623" s="97" t="s">
        <v>133</v>
      </c>
    </row>
    <row r="835624" spans="1:1" x14ac:dyDescent="0.2">
      <c r="A835624" s="97" t="s">
        <v>134</v>
      </c>
    </row>
    <row r="835625" spans="1:1" x14ac:dyDescent="0.2">
      <c r="A835625" s="97" t="s">
        <v>135</v>
      </c>
    </row>
    <row r="835626" spans="1:1" x14ac:dyDescent="0.2">
      <c r="A835626" s="97" t="s">
        <v>136</v>
      </c>
    </row>
    <row r="835627" spans="1:1" x14ac:dyDescent="0.2">
      <c r="A835627" s="97" t="s">
        <v>137</v>
      </c>
    </row>
    <row r="835628" spans="1:1" x14ac:dyDescent="0.2">
      <c r="A835628" s="97" t="s">
        <v>138</v>
      </c>
    </row>
    <row r="835629" spans="1:1" x14ac:dyDescent="0.2">
      <c r="A835629" s="97" t="s">
        <v>139</v>
      </c>
    </row>
    <row r="835630" spans="1:1" x14ac:dyDescent="0.2">
      <c r="A835630" s="97" t="s">
        <v>140</v>
      </c>
    </row>
    <row r="835631" spans="1:1" x14ac:dyDescent="0.2">
      <c r="A835631" s="97" t="s">
        <v>141</v>
      </c>
    </row>
    <row r="835632" spans="1:1" x14ac:dyDescent="0.2">
      <c r="A835632" s="97" t="s">
        <v>142</v>
      </c>
    </row>
    <row r="835633" spans="1:1" x14ac:dyDescent="0.2">
      <c r="A835633" s="97" t="s">
        <v>143</v>
      </c>
    </row>
    <row r="835634" spans="1:1" x14ac:dyDescent="0.2">
      <c r="A835634" s="97" t="s">
        <v>144</v>
      </c>
    </row>
    <row r="835635" spans="1:1" x14ac:dyDescent="0.2">
      <c r="A835635" s="97" t="s">
        <v>145</v>
      </c>
    </row>
    <row r="835636" spans="1:1" x14ac:dyDescent="0.2">
      <c r="A835636" s="97" t="s">
        <v>146</v>
      </c>
    </row>
    <row r="835637" spans="1:1" x14ac:dyDescent="0.2">
      <c r="A835637" s="97" t="s">
        <v>147</v>
      </c>
    </row>
    <row r="835638" spans="1:1" x14ac:dyDescent="0.2">
      <c r="A835638" s="97" t="s">
        <v>148</v>
      </c>
    </row>
    <row r="835639" spans="1:1" x14ac:dyDescent="0.2">
      <c r="A835639" s="97" t="s">
        <v>149</v>
      </c>
    </row>
    <row r="835640" spans="1:1" x14ac:dyDescent="0.2">
      <c r="A835640" s="97" t="s">
        <v>150</v>
      </c>
    </row>
    <row r="835641" spans="1:1" x14ac:dyDescent="0.2">
      <c r="A835641" s="97" t="s">
        <v>151</v>
      </c>
    </row>
    <row r="835642" spans="1:1" x14ac:dyDescent="0.2">
      <c r="A835642" s="97" t="s">
        <v>152</v>
      </c>
    </row>
    <row r="835643" spans="1:1" x14ac:dyDescent="0.2">
      <c r="A835643" s="97" t="s">
        <v>153</v>
      </c>
    </row>
    <row r="835644" spans="1:1" x14ac:dyDescent="0.2">
      <c r="A835644" s="97" t="s">
        <v>154</v>
      </c>
    </row>
    <row r="835645" spans="1:1" x14ac:dyDescent="0.2">
      <c r="A835645" s="97" t="s">
        <v>155</v>
      </c>
    </row>
    <row r="835646" spans="1:1" x14ac:dyDescent="0.2">
      <c r="A835646" s="97" t="s">
        <v>156</v>
      </c>
    </row>
    <row r="835647" spans="1:1" x14ac:dyDescent="0.2">
      <c r="A835647" s="97" t="s">
        <v>157</v>
      </c>
    </row>
    <row r="835648" spans="1:1" x14ac:dyDescent="0.2">
      <c r="A835648" s="97" t="s">
        <v>158</v>
      </c>
    </row>
    <row r="835649" spans="1:1" x14ac:dyDescent="0.2">
      <c r="A835649" s="97" t="s">
        <v>159</v>
      </c>
    </row>
    <row r="835650" spans="1:1" x14ac:dyDescent="0.2">
      <c r="A835650" s="97" t="s">
        <v>160</v>
      </c>
    </row>
    <row r="835651" spans="1:1" x14ac:dyDescent="0.2">
      <c r="A835651" s="97" t="s">
        <v>161</v>
      </c>
    </row>
    <row r="835652" spans="1:1" x14ac:dyDescent="0.2">
      <c r="A835652" s="97" t="s">
        <v>162</v>
      </c>
    </row>
    <row r="835653" spans="1:1" x14ac:dyDescent="0.2">
      <c r="A835653" s="97" t="s">
        <v>163</v>
      </c>
    </row>
    <row r="835654" spans="1:1" x14ac:dyDescent="0.2">
      <c r="A835654" s="97" t="s">
        <v>164</v>
      </c>
    </row>
    <row r="835655" spans="1:1" x14ac:dyDescent="0.2">
      <c r="A835655" s="97" t="s">
        <v>165</v>
      </c>
    </row>
    <row r="835656" spans="1:1" x14ac:dyDescent="0.2">
      <c r="A835656" s="97" t="s">
        <v>166</v>
      </c>
    </row>
    <row r="835657" spans="1:1" x14ac:dyDescent="0.2">
      <c r="A835657" s="97" t="s">
        <v>167</v>
      </c>
    </row>
    <row r="835658" spans="1:1" x14ac:dyDescent="0.2">
      <c r="A835658" s="97" t="s">
        <v>168</v>
      </c>
    </row>
    <row r="835659" spans="1:1" x14ac:dyDescent="0.2">
      <c r="A835659" s="97" t="s">
        <v>169</v>
      </c>
    </row>
    <row r="835660" spans="1:1" x14ac:dyDescent="0.2">
      <c r="A835660" s="97" t="s">
        <v>170</v>
      </c>
    </row>
    <row r="835661" spans="1:1" x14ac:dyDescent="0.2">
      <c r="A835661" s="97" t="s">
        <v>171</v>
      </c>
    </row>
    <row r="835662" spans="1:1" x14ac:dyDescent="0.2">
      <c r="A835662" s="97" t="s">
        <v>172</v>
      </c>
    </row>
    <row r="835663" spans="1:1" x14ac:dyDescent="0.2">
      <c r="A835663" s="97" t="s">
        <v>173</v>
      </c>
    </row>
    <row r="835664" spans="1:1" x14ac:dyDescent="0.2">
      <c r="A835664" s="97" t="s">
        <v>174</v>
      </c>
    </row>
    <row r="835665" spans="1:1" x14ac:dyDescent="0.2">
      <c r="A835665" s="97" t="s">
        <v>175</v>
      </c>
    </row>
    <row r="835666" spans="1:1" x14ac:dyDescent="0.2">
      <c r="A835666" s="97" t="s">
        <v>176</v>
      </c>
    </row>
    <row r="835667" spans="1:1" x14ac:dyDescent="0.2">
      <c r="A835667" s="97" t="s">
        <v>177</v>
      </c>
    </row>
    <row r="835668" spans="1:1" x14ac:dyDescent="0.2">
      <c r="A835668" s="97" t="s">
        <v>178</v>
      </c>
    </row>
    <row r="835669" spans="1:1" x14ac:dyDescent="0.2">
      <c r="A835669" s="97" t="s">
        <v>179</v>
      </c>
    </row>
    <row r="835670" spans="1:1" x14ac:dyDescent="0.2">
      <c r="A835670" s="97" t="s">
        <v>180</v>
      </c>
    </row>
    <row r="835671" spans="1:1" x14ac:dyDescent="0.2">
      <c r="A835671" s="97" t="s">
        <v>181</v>
      </c>
    </row>
    <row r="835672" spans="1:1" x14ac:dyDescent="0.2">
      <c r="A835672" s="97" t="s">
        <v>182</v>
      </c>
    </row>
    <row r="835673" spans="1:1" x14ac:dyDescent="0.2">
      <c r="A835673" s="97" t="s">
        <v>183</v>
      </c>
    </row>
    <row r="851969" spans="1:1" x14ac:dyDescent="0.2">
      <c r="A851969" s="97" t="s">
        <v>95</v>
      </c>
    </row>
    <row r="851970" spans="1:1" x14ac:dyDescent="0.2">
      <c r="A851970" s="97" t="s">
        <v>96</v>
      </c>
    </row>
    <row r="851971" spans="1:1" x14ac:dyDescent="0.2">
      <c r="A851971" s="97" t="s">
        <v>97</v>
      </c>
    </row>
    <row r="851972" spans="1:1" x14ac:dyDescent="0.2">
      <c r="A851972" s="97" t="s">
        <v>98</v>
      </c>
    </row>
    <row r="851973" spans="1:1" x14ac:dyDescent="0.2">
      <c r="A851973" s="97" t="s">
        <v>99</v>
      </c>
    </row>
    <row r="851974" spans="1:1" x14ac:dyDescent="0.2">
      <c r="A851974" s="97" t="s">
        <v>100</v>
      </c>
    </row>
    <row r="851975" spans="1:1" x14ac:dyDescent="0.2">
      <c r="A851975" s="97" t="s">
        <v>101</v>
      </c>
    </row>
    <row r="851976" spans="1:1" x14ac:dyDescent="0.2">
      <c r="A851976" s="97" t="s">
        <v>102</v>
      </c>
    </row>
    <row r="851977" spans="1:1" x14ac:dyDescent="0.2">
      <c r="A851977" s="97" t="s">
        <v>103</v>
      </c>
    </row>
    <row r="851978" spans="1:1" x14ac:dyDescent="0.2">
      <c r="A851978" s="97" t="s">
        <v>104</v>
      </c>
    </row>
    <row r="851979" spans="1:1" x14ac:dyDescent="0.2">
      <c r="A851979" s="97" t="s">
        <v>105</v>
      </c>
    </row>
    <row r="851980" spans="1:1" x14ac:dyDescent="0.2">
      <c r="A851980" s="97" t="s">
        <v>106</v>
      </c>
    </row>
    <row r="851981" spans="1:1" x14ac:dyDescent="0.2">
      <c r="A851981" s="97" t="s">
        <v>107</v>
      </c>
    </row>
    <row r="851982" spans="1:1" x14ac:dyDescent="0.2">
      <c r="A851982" s="97" t="s">
        <v>108</v>
      </c>
    </row>
    <row r="851983" spans="1:1" x14ac:dyDescent="0.2">
      <c r="A851983" s="97" t="s">
        <v>109</v>
      </c>
    </row>
    <row r="851984" spans="1:1" x14ac:dyDescent="0.2">
      <c r="A851984" s="97" t="s">
        <v>110</v>
      </c>
    </row>
    <row r="851985" spans="1:1" x14ac:dyDescent="0.2">
      <c r="A851985" s="97" t="s">
        <v>111</v>
      </c>
    </row>
    <row r="851986" spans="1:1" x14ac:dyDescent="0.2">
      <c r="A851986" s="97" t="s">
        <v>112</v>
      </c>
    </row>
    <row r="851987" spans="1:1" x14ac:dyDescent="0.2">
      <c r="A851987" s="97" t="s">
        <v>113</v>
      </c>
    </row>
    <row r="851988" spans="1:1" x14ac:dyDescent="0.2">
      <c r="A851988" s="97" t="s">
        <v>114</v>
      </c>
    </row>
    <row r="851989" spans="1:1" x14ac:dyDescent="0.2">
      <c r="A851989" s="97" t="s">
        <v>115</v>
      </c>
    </row>
    <row r="851990" spans="1:1" x14ac:dyDescent="0.2">
      <c r="A851990" s="97" t="s">
        <v>116</v>
      </c>
    </row>
    <row r="851991" spans="1:1" x14ac:dyDescent="0.2">
      <c r="A851991" s="97" t="s">
        <v>117</v>
      </c>
    </row>
    <row r="851992" spans="1:1" x14ac:dyDescent="0.2">
      <c r="A851992" s="97" t="s">
        <v>118</v>
      </c>
    </row>
    <row r="851993" spans="1:1" x14ac:dyDescent="0.2">
      <c r="A851993" s="97" t="s">
        <v>119</v>
      </c>
    </row>
    <row r="851994" spans="1:1" x14ac:dyDescent="0.2">
      <c r="A851994" s="97" t="s">
        <v>120</v>
      </c>
    </row>
    <row r="851995" spans="1:1" x14ac:dyDescent="0.2">
      <c r="A851995" s="97" t="s">
        <v>121</v>
      </c>
    </row>
    <row r="851996" spans="1:1" x14ac:dyDescent="0.2">
      <c r="A851996" s="97" t="s">
        <v>122</v>
      </c>
    </row>
    <row r="851997" spans="1:1" x14ac:dyDescent="0.2">
      <c r="A851997" s="97" t="s">
        <v>123</v>
      </c>
    </row>
    <row r="851998" spans="1:1" x14ac:dyDescent="0.2">
      <c r="A851998" s="97" t="s">
        <v>124</v>
      </c>
    </row>
    <row r="851999" spans="1:1" x14ac:dyDescent="0.2">
      <c r="A851999" s="97" t="s">
        <v>125</v>
      </c>
    </row>
    <row r="852000" spans="1:1" x14ac:dyDescent="0.2">
      <c r="A852000" s="97" t="s">
        <v>126</v>
      </c>
    </row>
    <row r="852001" spans="1:1" x14ac:dyDescent="0.2">
      <c r="A852001" s="97" t="s">
        <v>127</v>
      </c>
    </row>
    <row r="852002" spans="1:1" x14ac:dyDescent="0.2">
      <c r="A852002" s="97" t="s">
        <v>128</v>
      </c>
    </row>
    <row r="852003" spans="1:1" x14ac:dyDescent="0.2">
      <c r="A852003" s="97" t="s">
        <v>129</v>
      </c>
    </row>
    <row r="852004" spans="1:1" x14ac:dyDescent="0.2">
      <c r="A852004" s="97" t="s">
        <v>130</v>
      </c>
    </row>
    <row r="852005" spans="1:1" x14ac:dyDescent="0.2">
      <c r="A852005" s="97" t="s">
        <v>131</v>
      </c>
    </row>
    <row r="852006" spans="1:1" x14ac:dyDescent="0.2">
      <c r="A852006" s="97" t="s">
        <v>132</v>
      </c>
    </row>
    <row r="852007" spans="1:1" x14ac:dyDescent="0.2">
      <c r="A852007" s="97" t="s">
        <v>133</v>
      </c>
    </row>
    <row r="852008" spans="1:1" x14ac:dyDescent="0.2">
      <c r="A852008" s="97" t="s">
        <v>134</v>
      </c>
    </row>
    <row r="852009" spans="1:1" x14ac:dyDescent="0.2">
      <c r="A852009" s="97" t="s">
        <v>135</v>
      </c>
    </row>
    <row r="852010" spans="1:1" x14ac:dyDescent="0.2">
      <c r="A852010" s="97" t="s">
        <v>136</v>
      </c>
    </row>
    <row r="852011" spans="1:1" x14ac:dyDescent="0.2">
      <c r="A852011" s="97" t="s">
        <v>137</v>
      </c>
    </row>
    <row r="852012" spans="1:1" x14ac:dyDescent="0.2">
      <c r="A852012" s="97" t="s">
        <v>138</v>
      </c>
    </row>
    <row r="852013" spans="1:1" x14ac:dyDescent="0.2">
      <c r="A852013" s="97" t="s">
        <v>139</v>
      </c>
    </row>
    <row r="852014" spans="1:1" x14ac:dyDescent="0.2">
      <c r="A852014" s="97" t="s">
        <v>140</v>
      </c>
    </row>
    <row r="852015" spans="1:1" x14ac:dyDescent="0.2">
      <c r="A852015" s="97" t="s">
        <v>141</v>
      </c>
    </row>
    <row r="852016" spans="1:1" x14ac:dyDescent="0.2">
      <c r="A852016" s="97" t="s">
        <v>142</v>
      </c>
    </row>
    <row r="852017" spans="1:1" x14ac:dyDescent="0.2">
      <c r="A852017" s="97" t="s">
        <v>143</v>
      </c>
    </row>
    <row r="852018" spans="1:1" x14ac:dyDescent="0.2">
      <c r="A852018" s="97" t="s">
        <v>144</v>
      </c>
    </row>
    <row r="852019" spans="1:1" x14ac:dyDescent="0.2">
      <c r="A852019" s="97" t="s">
        <v>145</v>
      </c>
    </row>
    <row r="852020" spans="1:1" x14ac:dyDescent="0.2">
      <c r="A852020" s="97" t="s">
        <v>146</v>
      </c>
    </row>
    <row r="852021" spans="1:1" x14ac:dyDescent="0.2">
      <c r="A852021" s="97" t="s">
        <v>147</v>
      </c>
    </row>
    <row r="852022" spans="1:1" x14ac:dyDescent="0.2">
      <c r="A852022" s="97" t="s">
        <v>148</v>
      </c>
    </row>
    <row r="852023" spans="1:1" x14ac:dyDescent="0.2">
      <c r="A852023" s="97" t="s">
        <v>149</v>
      </c>
    </row>
    <row r="852024" spans="1:1" x14ac:dyDescent="0.2">
      <c r="A852024" s="97" t="s">
        <v>150</v>
      </c>
    </row>
    <row r="852025" spans="1:1" x14ac:dyDescent="0.2">
      <c r="A852025" s="97" t="s">
        <v>151</v>
      </c>
    </row>
    <row r="852026" spans="1:1" x14ac:dyDescent="0.2">
      <c r="A852026" s="97" t="s">
        <v>152</v>
      </c>
    </row>
    <row r="852027" spans="1:1" x14ac:dyDescent="0.2">
      <c r="A852027" s="97" t="s">
        <v>153</v>
      </c>
    </row>
    <row r="852028" spans="1:1" x14ac:dyDescent="0.2">
      <c r="A852028" s="97" t="s">
        <v>154</v>
      </c>
    </row>
    <row r="852029" spans="1:1" x14ac:dyDescent="0.2">
      <c r="A852029" s="97" t="s">
        <v>155</v>
      </c>
    </row>
    <row r="852030" spans="1:1" x14ac:dyDescent="0.2">
      <c r="A852030" s="97" t="s">
        <v>156</v>
      </c>
    </row>
    <row r="852031" spans="1:1" x14ac:dyDescent="0.2">
      <c r="A852031" s="97" t="s">
        <v>157</v>
      </c>
    </row>
    <row r="852032" spans="1:1" x14ac:dyDescent="0.2">
      <c r="A852032" s="97" t="s">
        <v>158</v>
      </c>
    </row>
    <row r="852033" spans="1:1" x14ac:dyDescent="0.2">
      <c r="A852033" s="97" t="s">
        <v>159</v>
      </c>
    </row>
    <row r="852034" spans="1:1" x14ac:dyDescent="0.2">
      <c r="A852034" s="97" t="s">
        <v>160</v>
      </c>
    </row>
    <row r="852035" spans="1:1" x14ac:dyDescent="0.2">
      <c r="A852035" s="97" t="s">
        <v>161</v>
      </c>
    </row>
    <row r="852036" spans="1:1" x14ac:dyDescent="0.2">
      <c r="A852036" s="97" t="s">
        <v>162</v>
      </c>
    </row>
    <row r="852037" spans="1:1" x14ac:dyDescent="0.2">
      <c r="A852037" s="97" t="s">
        <v>163</v>
      </c>
    </row>
    <row r="852038" spans="1:1" x14ac:dyDescent="0.2">
      <c r="A852038" s="97" t="s">
        <v>164</v>
      </c>
    </row>
    <row r="852039" spans="1:1" x14ac:dyDescent="0.2">
      <c r="A852039" s="97" t="s">
        <v>165</v>
      </c>
    </row>
    <row r="852040" spans="1:1" x14ac:dyDescent="0.2">
      <c r="A852040" s="97" t="s">
        <v>166</v>
      </c>
    </row>
    <row r="852041" spans="1:1" x14ac:dyDescent="0.2">
      <c r="A852041" s="97" t="s">
        <v>167</v>
      </c>
    </row>
    <row r="852042" spans="1:1" x14ac:dyDescent="0.2">
      <c r="A852042" s="97" t="s">
        <v>168</v>
      </c>
    </row>
    <row r="852043" spans="1:1" x14ac:dyDescent="0.2">
      <c r="A852043" s="97" t="s">
        <v>169</v>
      </c>
    </row>
    <row r="852044" spans="1:1" x14ac:dyDescent="0.2">
      <c r="A852044" s="97" t="s">
        <v>170</v>
      </c>
    </row>
    <row r="852045" spans="1:1" x14ac:dyDescent="0.2">
      <c r="A852045" s="97" t="s">
        <v>171</v>
      </c>
    </row>
    <row r="852046" spans="1:1" x14ac:dyDescent="0.2">
      <c r="A852046" s="97" t="s">
        <v>172</v>
      </c>
    </row>
    <row r="852047" spans="1:1" x14ac:dyDescent="0.2">
      <c r="A852047" s="97" t="s">
        <v>173</v>
      </c>
    </row>
    <row r="852048" spans="1:1" x14ac:dyDescent="0.2">
      <c r="A852048" s="97" t="s">
        <v>174</v>
      </c>
    </row>
    <row r="852049" spans="1:1" x14ac:dyDescent="0.2">
      <c r="A852049" s="97" t="s">
        <v>175</v>
      </c>
    </row>
    <row r="852050" spans="1:1" x14ac:dyDescent="0.2">
      <c r="A852050" s="97" t="s">
        <v>176</v>
      </c>
    </row>
    <row r="852051" spans="1:1" x14ac:dyDescent="0.2">
      <c r="A852051" s="97" t="s">
        <v>177</v>
      </c>
    </row>
    <row r="852052" spans="1:1" x14ac:dyDescent="0.2">
      <c r="A852052" s="97" t="s">
        <v>178</v>
      </c>
    </row>
    <row r="852053" spans="1:1" x14ac:dyDescent="0.2">
      <c r="A852053" s="97" t="s">
        <v>179</v>
      </c>
    </row>
    <row r="852054" spans="1:1" x14ac:dyDescent="0.2">
      <c r="A852054" s="97" t="s">
        <v>180</v>
      </c>
    </row>
    <row r="852055" spans="1:1" x14ac:dyDescent="0.2">
      <c r="A852055" s="97" t="s">
        <v>181</v>
      </c>
    </row>
    <row r="852056" spans="1:1" x14ac:dyDescent="0.2">
      <c r="A852056" s="97" t="s">
        <v>182</v>
      </c>
    </row>
    <row r="852057" spans="1:1" x14ac:dyDescent="0.2">
      <c r="A852057" s="97" t="s">
        <v>183</v>
      </c>
    </row>
    <row r="868353" spans="1:1" x14ac:dyDescent="0.2">
      <c r="A868353" s="97" t="s">
        <v>95</v>
      </c>
    </row>
    <row r="868354" spans="1:1" x14ac:dyDescent="0.2">
      <c r="A868354" s="97" t="s">
        <v>96</v>
      </c>
    </row>
    <row r="868355" spans="1:1" x14ac:dyDescent="0.2">
      <c r="A868355" s="97" t="s">
        <v>97</v>
      </c>
    </row>
    <row r="868356" spans="1:1" x14ac:dyDescent="0.2">
      <c r="A868356" s="97" t="s">
        <v>98</v>
      </c>
    </row>
    <row r="868357" spans="1:1" x14ac:dyDescent="0.2">
      <c r="A868357" s="97" t="s">
        <v>99</v>
      </c>
    </row>
    <row r="868358" spans="1:1" x14ac:dyDescent="0.2">
      <c r="A868358" s="97" t="s">
        <v>100</v>
      </c>
    </row>
    <row r="868359" spans="1:1" x14ac:dyDescent="0.2">
      <c r="A868359" s="97" t="s">
        <v>101</v>
      </c>
    </row>
    <row r="868360" spans="1:1" x14ac:dyDescent="0.2">
      <c r="A868360" s="97" t="s">
        <v>102</v>
      </c>
    </row>
    <row r="868361" spans="1:1" x14ac:dyDescent="0.2">
      <c r="A868361" s="97" t="s">
        <v>103</v>
      </c>
    </row>
    <row r="868362" spans="1:1" x14ac:dyDescent="0.2">
      <c r="A868362" s="97" t="s">
        <v>104</v>
      </c>
    </row>
    <row r="868363" spans="1:1" x14ac:dyDescent="0.2">
      <c r="A868363" s="97" t="s">
        <v>105</v>
      </c>
    </row>
    <row r="868364" spans="1:1" x14ac:dyDescent="0.2">
      <c r="A868364" s="97" t="s">
        <v>106</v>
      </c>
    </row>
    <row r="868365" spans="1:1" x14ac:dyDescent="0.2">
      <c r="A868365" s="97" t="s">
        <v>107</v>
      </c>
    </row>
    <row r="868366" spans="1:1" x14ac:dyDescent="0.2">
      <c r="A868366" s="97" t="s">
        <v>108</v>
      </c>
    </row>
    <row r="868367" spans="1:1" x14ac:dyDescent="0.2">
      <c r="A868367" s="97" t="s">
        <v>109</v>
      </c>
    </row>
    <row r="868368" spans="1:1" x14ac:dyDescent="0.2">
      <c r="A868368" s="97" t="s">
        <v>110</v>
      </c>
    </row>
    <row r="868369" spans="1:1" x14ac:dyDescent="0.2">
      <c r="A868369" s="97" t="s">
        <v>111</v>
      </c>
    </row>
    <row r="868370" spans="1:1" x14ac:dyDescent="0.2">
      <c r="A868370" s="97" t="s">
        <v>112</v>
      </c>
    </row>
    <row r="868371" spans="1:1" x14ac:dyDescent="0.2">
      <c r="A868371" s="97" t="s">
        <v>113</v>
      </c>
    </row>
    <row r="868372" spans="1:1" x14ac:dyDescent="0.2">
      <c r="A868372" s="97" t="s">
        <v>114</v>
      </c>
    </row>
    <row r="868373" spans="1:1" x14ac:dyDescent="0.2">
      <c r="A868373" s="97" t="s">
        <v>115</v>
      </c>
    </row>
    <row r="868374" spans="1:1" x14ac:dyDescent="0.2">
      <c r="A868374" s="97" t="s">
        <v>116</v>
      </c>
    </row>
    <row r="868375" spans="1:1" x14ac:dyDescent="0.2">
      <c r="A868375" s="97" t="s">
        <v>117</v>
      </c>
    </row>
    <row r="868376" spans="1:1" x14ac:dyDescent="0.2">
      <c r="A868376" s="97" t="s">
        <v>118</v>
      </c>
    </row>
    <row r="868377" spans="1:1" x14ac:dyDescent="0.2">
      <c r="A868377" s="97" t="s">
        <v>119</v>
      </c>
    </row>
    <row r="868378" spans="1:1" x14ac:dyDescent="0.2">
      <c r="A868378" s="97" t="s">
        <v>120</v>
      </c>
    </row>
    <row r="868379" spans="1:1" x14ac:dyDescent="0.2">
      <c r="A868379" s="97" t="s">
        <v>121</v>
      </c>
    </row>
    <row r="868380" spans="1:1" x14ac:dyDescent="0.2">
      <c r="A868380" s="97" t="s">
        <v>122</v>
      </c>
    </row>
    <row r="868381" spans="1:1" x14ac:dyDescent="0.2">
      <c r="A868381" s="97" t="s">
        <v>123</v>
      </c>
    </row>
    <row r="868382" spans="1:1" x14ac:dyDescent="0.2">
      <c r="A868382" s="97" t="s">
        <v>124</v>
      </c>
    </row>
    <row r="868383" spans="1:1" x14ac:dyDescent="0.2">
      <c r="A868383" s="97" t="s">
        <v>125</v>
      </c>
    </row>
    <row r="868384" spans="1:1" x14ac:dyDescent="0.2">
      <c r="A868384" s="97" t="s">
        <v>126</v>
      </c>
    </row>
    <row r="868385" spans="1:1" x14ac:dyDescent="0.2">
      <c r="A868385" s="97" t="s">
        <v>127</v>
      </c>
    </row>
    <row r="868386" spans="1:1" x14ac:dyDescent="0.2">
      <c r="A868386" s="97" t="s">
        <v>128</v>
      </c>
    </row>
    <row r="868387" spans="1:1" x14ac:dyDescent="0.2">
      <c r="A868387" s="97" t="s">
        <v>129</v>
      </c>
    </row>
    <row r="868388" spans="1:1" x14ac:dyDescent="0.2">
      <c r="A868388" s="97" t="s">
        <v>130</v>
      </c>
    </row>
    <row r="868389" spans="1:1" x14ac:dyDescent="0.2">
      <c r="A868389" s="97" t="s">
        <v>131</v>
      </c>
    </row>
    <row r="868390" spans="1:1" x14ac:dyDescent="0.2">
      <c r="A868390" s="97" t="s">
        <v>132</v>
      </c>
    </row>
    <row r="868391" spans="1:1" x14ac:dyDescent="0.2">
      <c r="A868391" s="97" t="s">
        <v>133</v>
      </c>
    </row>
    <row r="868392" spans="1:1" x14ac:dyDescent="0.2">
      <c r="A868392" s="97" t="s">
        <v>134</v>
      </c>
    </row>
    <row r="868393" spans="1:1" x14ac:dyDescent="0.2">
      <c r="A868393" s="97" t="s">
        <v>135</v>
      </c>
    </row>
    <row r="868394" spans="1:1" x14ac:dyDescent="0.2">
      <c r="A868394" s="97" t="s">
        <v>136</v>
      </c>
    </row>
    <row r="868395" spans="1:1" x14ac:dyDescent="0.2">
      <c r="A868395" s="97" t="s">
        <v>137</v>
      </c>
    </row>
    <row r="868396" spans="1:1" x14ac:dyDescent="0.2">
      <c r="A868396" s="97" t="s">
        <v>138</v>
      </c>
    </row>
    <row r="868397" spans="1:1" x14ac:dyDescent="0.2">
      <c r="A868397" s="97" t="s">
        <v>139</v>
      </c>
    </row>
    <row r="868398" spans="1:1" x14ac:dyDescent="0.2">
      <c r="A868398" s="97" t="s">
        <v>140</v>
      </c>
    </row>
    <row r="868399" spans="1:1" x14ac:dyDescent="0.2">
      <c r="A868399" s="97" t="s">
        <v>141</v>
      </c>
    </row>
    <row r="868400" spans="1:1" x14ac:dyDescent="0.2">
      <c r="A868400" s="97" t="s">
        <v>142</v>
      </c>
    </row>
    <row r="868401" spans="1:1" x14ac:dyDescent="0.2">
      <c r="A868401" s="97" t="s">
        <v>143</v>
      </c>
    </row>
    <row r="868402" spans="1:1" x14ac:dyDescent="0.2">
      <c r="A868402" s="97" t="s">
        <v>144</v>
      </c>
    </row>
    <row r="868403" spans="1:1" x14ac:dyDescent="0.2">
      <c r="A868403" s="97" t="s">
        <v>145</v>
      </c>
    </row>
    <row r="868404" spans="1:1" x14ac:dyDescent="0.2">
      <c r="A868404" s="97" t="s">
        <v>146</v>
      </c>
    </row>
    <row r="868405" spans="1:1" x14ac:dyDescent="0.2">
      <c r="A868405" s="97" t="s">
        <v>147</v>
      </c>
    </row>
    <row r="868406" spans="1:1" x14ac:dyDescent="0.2">
      <c r="A868406" s="97" t="s">
        <v>148</v>
      </c>
    </row>
    <row r="868407" spans="1:1" x14ac:dyDescent="0.2">
      <c r="A868407" s="97" t="s">
        <v>149</v>
      </c>
    </row>
    <row r="868408" spans="1:1" x14ac:dyDescent="0.2">
      <c r="A868408" s="97" t="s">
        <v>150</v>
      </c>
    </row>
    <row r="868409" spans="1:1" x14ac:dyDescent="0.2">
      <c r="A868409" s="97" t="s">
        <v>151</v>
      </c>
    </row>
    <row r="868410" spans="1:1" x14ac:dyDescent="0.2">
      <c r="A868410" s="97" t="s">
        <v>152</v>
      </c>
    </row>
    <row r="868411" spans="1:1" x14ac:dyDescent="0.2">
      <c r="A868411" s="97" t="s">
        <v>153</v>
      </c>
    </row>
    <row r="868412" spans="1:1" x14ac:dyDescent="0.2">
      <c r="A868412" s="97" t="s">
        <v>154</v>
      </c>
    </row>
    <row r="868413" spans="1:1" x14ac:dyDescent="0.2">
      <c r="A868413" s="97" t="s">
        <v>155</v>
      </c>
    </row>
    <row r="868414" spans="1:1" x14ac:dyDescent="0.2">
      <c r="A868414" s="97" t="s">
        <v>156</v>
      </c>
    </row>
    <row r="868415" spans="1:1" x14ac:dyDescent="0.2">
      <c r="A868415" s="97" t="s">
        <v>157</v>
      </c>
    </row>
    <row r="868416" spans="1:1" x14ac:dyDescent="0.2">
      <c r="A868416" s="97" t="s">
        <v>158</v>
      </c>
    </row>
    <row r="868417" spans="1:1" x14ac:dyDescent="0.2">
      <c r="A868417" s="97" t="s">
        <v>159</v>
      </c>
    </row>
    <row r="868418" spans="1:1" x14ac:dyDescent="0.2">
      <c r="A868418" s="97" t="s">
        <v>160</v>
      </c>
    </row>
    <row r="868419" spans="1:1" x14ac:dyDescent="0.2">
      <c r="A868419" s="97" t="s">
        <v>161</v>
      </c>
    </row>
    <row r="868420" spans="1:1" x14ac:dyDescent="0.2">
      <c r="A868420" s="97" t="s">
        <v>162</v>
      </c>
    </row>
    <row r="868421" spans="1:1" x14ac:dyDescent="0.2">
      <c r="A868421" s="97" t="s">
        <v>163</v>
      </c>
    </row>
    <row r="868422" spans="1:1" x14ac:dyDescent="0.2">
      <c r="A868422" s="97" t="s">
        <v>164</v>
      </c>
    </row>
    <row r="868423" spans="1:1" x14ac:dyDescent="0.2">
      <c r="A868423" s="97" t="s">
        <v>165</v>
      </c>
    </row>
    <row r="868424" spans="1:1" x14ac:dyDescent="0.2">
      <c r="A868424" s="97" t="s">
        <v>166</v>
      </c>
    </row>
    <row r="868425" spans="1:1" x14ac:dyDescent="0.2">
      <c r="A868425" s="97" t="s">
        <v>167</v>
      </c>
    </row>
    <row r="868426" spans="1:1" x14ac:dyDescent="0.2">
      <c r="A868426" s="97" t="s">
        <v>168</v>
      </c>
    </row>
    <row r="868427" spans="1:1" x14ac:dyDescent="0.2">
      <c r="A868427" s="97" t="s">
        <v>169</v>
      </c>
    </row>
    <row r="868428" spans="1:1" x14ac:dyDescent="0.2">
      <c r="A868428" s="97" t="s">
        <v>170</v>
      </c>
    </row>
    <row r="868429" spans="1:1" x14ac:dyDescent="0.2">
      <c r="A868429" s="97" t="s">
        <v>171</v>
      </c>
    </row>
    <row r="868430" spans="1:1" x14ac:dyDescent="0.2">
      <c r="A868430" s="97" t="s">
        <v>172</v>
      </c>
    </row>
    <row r="868431" spans="1:1" x14ac:dyDescent="0.2">
      <c r="A868431" s="97" t="s">
        <v>173</v>
      </c>
    </row>
    <row r="868432" spans="1:1" x14ac:dyDescent="0.2">
      <c r="A868432" s="97" t="s">
        <v>174</v>
      </c>
    </row>
    <row r="868433" spans="1:1" x14ac:dyDescent="0.2">
      <c r="A868433" s="97" t="s">
        <v>175</v>
      </c>
    </row>
    <row r="868434" spans="1:1" x14ac:dyDescent="0.2">
      <c r="A868434" s="97" t="s">
        <v>176</v>
      </c>
    </row>
    <row r="868435" spans="1:1" x14ac:dyDescent="0.2">
      <c r="A868435" s="97" t="s">
        <v>177</v>
      </c>
    </row>
    <row r="868436" spans="1:1" x14ac:dyDescent="0.2">
      <c r="A868436" s="97" t="s">
        <v>178</v>
      </c>
    </row>
    <row r="868437" spans="1:1" x14ac:dyDescent="0.2">
      <c r="A868437" s="97" t="s">
        <v>179</v>
      </c>
    </row>
    <row r="868438" spans="1:1" x14ac:dyDescent="0.2">
      <c r="A868438" s="97" t="s">
        <v>180</v>
      </c>
    </row>
    <row r="868439" spans="1:1" x14ac:dyDescent="0.2">
      <c r="A868439" s="97" t="s">
        <v>181</v>
      </c>
    </row>
    <row r="868440" spans="1:1" x14ac:dyDescent="0.2">
      <c r="A868440" s="97" t="s">
        <v>182</v>
      </c>
    </row>
    <row r="868441" spans="1:1" x14ac:dyDescent="0.2">
      <c r="A868441" s="97" t="s">
        <v>183</v>
      </c>
    </row>
    <row r="884737" spans="1:1" x14ac:dyDescent="0.2">
      <c r="A884737" s="97" t="s">
        <v>95</v>
      </c>
    </row>
    <row r="884738" spans="1:1" x14ac:dyDescent="0.2">
      <c r="A884738" s="97" t="s">
        <v>96</v>
      </c>
    </row>
    <row r="884739" spans="1:1" x14ac:dyDescent="0.2">
      <c r="A884739" s="97" t="s">
        <v>97</v>
      </c>
    </row>
    <row r="884740" spans="1:1" x14ac:dyDescent="0.2">
      <c r="A884740" s="97" t="s">
        <v>98</v>
      </c>
    </row>
    <row r="884741" spans="1:1" x14ac:dyDescent="0.2">
      <c r="A884741" s="97" t="s">
        <v>99</v>
      </c>
    </row>
    <row r="884742" spans="1:1" x14ac:dyDescent="0.2">
      <c r="A884742" s="97" t="s">
        <v>100</v>
      </c>
    </row>
    <row r="884743" spans="1:1" x14ac:dyDescent="0.2">
      <c r="A884743" s="97" t="s">
        <v>101</v>
      </c>
    </row>
    <row r="884744" spans="1:1" x14ac:dyDescent="0.2">
      <c r="A884744" s="97" t="s">
        <v>102</v>
      </c>
    </row>
    <row r="884745" spans="1:1" x14ac:dyDescent="0.2">
      <c r="A884745" s="97" t="s">
        <v>103</v>
      </c>
    </row>
    <row r="884746" spans="1:1" x14ac:dyDescent="0.2">
      <c r="A884746" s="97" t="s">
        <v>104</v>
      </c>
    </row>
    <row r="884747" spans="1:1" x14ac:dyDescent="0.2">
      <c r="A884747" s="97" t="s">
        <v>105</v>
      </c>
    </row>
    <row r="884748" spans="1:1" x14ac:dyDescent="0.2">
      <c r="A884748" s="97" t="s">
        <v>106</v>
      </c>
    </row>
    <row r="884749" spans="1:1" x14ac:dyDescent="0.2">
      <c r="A884749" s="97" t="s">
        <v>107</v>
      </c>
    </row>
    <row r="884750" spans="1:1" x14ac:dyDescent="0.2">
      <c r="A884750" s="97" t="s">
        <v>108</v>
      </c>
    </row>
    <row r="884751" spans="1:1" x14ac:dyDescent="0.2">
      <c r="A884751" s="97" t="s">
        <v>109</v>
      </c>
    </row>
    <row r="884752" spans="1:1" x14ac:dyDescent="0.2">
      <c r="A884752" s="97" t="s">
        <v>110</v>
      </c>
    </row>
    <row r="884753" spans="1:1" x14ac:dyDescent="0.2">
      <c r="A884753" s="97" t="s">
        <v>111</v>
      </c>
    </row>
    <row r="884754" spans="1:1" x14ac:dyDescent="0.2">
      <c r="A884754" s="97" t="s">
        <v>112</v>
      </c>
    </row>
    <row r="884755" spans="1:1" x14ac:dyDescent="0.2">
      <c r="A884755" s="97" t="s">
        <v>113</v>
      </c>
    </row>
    <row r="884756" spans="1:1" x14ac:dyDescent="0.2">
      <c r="A884756" s="97" t="s">
        <v>114</v>
      </c>
    </row>
    <row r="884757" spans="1:1" x14ac:dyDescent="0.2">
      <c r="A884757" s="97" t="s">
        <v>115</v>
      </c>
    </row>
    <row r="884758" spans="1:1" x14ac:dyDescent="0.2">
      <c r="A884758" s="97" t="s">
        <v>116</v>
      </c>
    </row>
    <row r="884759" spans="1:1" x14ac:dyDescent="0.2">
      <c r="A884759" s="97" t="s">
        <v>117</v>
      </c>
    </row>
    <row r="884760" spans="1:1" x14ac:dyDescent="0.2">
      <c r="A884760" s="97" t="s">
        <v>118</v>
      </c>
    </row>
    <row r="884761" spans="1:1" x14ac:dyDescent="0.2">
      <c r="A884761" s="97" t="s">
        <v>119</v>
      </c>
    </row>
    <row r="884762" spans="1:1" x14ac:dyDescent="0.2">
      <c r="A884762" s="97" t="s">
        <v>120</v>
      </c>
    </row>
    <row r="884763" spans="1:1" x14ac:dyDescent="0.2">
      <c r="A884763" s="97" t="s">
        <v>121</v>
      </c>
    </row>
    <row r="884764" spans="1:1" x14ac:dyDescent="0.2">
      <c r="A884764" s="97" t="s">
        <v>122</v>
      </c>
    </row>
    <row r="884765" spans="1:1" x14ac:dyDescent="0.2">
      <c r="A884765" s="97" t="s">
        <v>123</v>
      </c>
    </row>
    <row r="884766" spans="1:1" x14ac:dyDescent="0.2">
      <c r="A884766" s="97" t="s">
        <v>124</v>
      </c>
    </row>
    <row r="884767" spans="1:1" x14ac:dyDescent="0.2">
      <c r="A884767" s="97" t="s">
        <v>125</v>
      </c>
    </row>
    <row r="884768" spans="1:1" x14ac:dyDescent="0.2">
      <c r="A884768" s="97" t="s">
        <v>126</v>
      </c>
    </row>
    <row r="884769" spans="1:1" x14ac:dyDescent="0.2">
      <c r="A884769" s="97" t="s">
        <v>127</v>
      </c>
    </row>
    <row r="884770" spans="1:1" x14ac:dyDescent="0.2">
      <c r="A884770" s="97" t="s">
        <v>128</v>
      </c>
    </row>
    <row r="884771" spans="1:1" x14ac:dyDescent="0.2">
      <c r="A884771" s="97" t="s">
        <v>129</v>
      </c>
    </row>
    <row r="884772" spans="1:1" x14ac:dyDescent="0.2">
      <c r="A884772" s="97" t="s">
        <v>130</v>
      </c>
    </row>
    <row r="884773" spans="1:1" x14ac:dyDescent="0.2">
      <c r="A884773" s="97" t="s">
        <v>131</v>
      </c>
    </row>
    <row r="884774" spans="1:1" x14ac:dyDescent="0.2">
      <c r="A884774" s="97" t="s">
        <v>132</v>
      </c>
    </row>
    <row r="884775" spans="1:1" x14ac:dyDescent="0.2">
      <c r="A884775" s="97" t="s">
        <v>133</v>
      </c>
    </row>
    <row r="884776" spans="1:1" x14ac:dyDescent="0.2">
      <c r="A884776" s="97" t="s">
        <v>134</v>
      </c>
    </row>
    <row r="884777" spans="1:1" x14ac:dyDescent="0.2">
      <c r="A884777" s="97" t="s">
        <v>135</v>
      </c>
    </row>
    <row r="884778" spans="1:1" x14ac:dyDescent="0.2">
      <c r="A884778" s="97" t="s">
        <v>136</v>
      </c>
    </row>
    <row r="884779" spans="1:1" x14ac:dyDescent="0.2">
      <c r="A884779" s="97" t="s">
        <v>137</v>
      </c>
    </row>
    <row r="884780" spans="1:1" x14ac:dyDescent="0.2">
      <c r="A884780" s="97" t="s">
        <v>138</v>
      </c>
    </row>
    <row r="884781" spans="1:1" x14ac:dyDescent="0.2">
      <c r="A884781" s="97" t="s">
        <v>139</v>
      </c>
    </row>
    <row r="884782" spans="1:1" x14ac:dyDescent="0.2">
      <c r="A884782" s="97" t="s">
        <v>140</v>
      </c>
    </row>
    <row r="884783" spans="1:1" x14ac:dyDescent="0.2">
      <c r="A884783" s="97" t="s">
        <v>141</v>
      </c>
    </row>
    <row r="884784" spans="1:1" x14ac:dyDescent="0.2">
      <c r="A884784" s="97" t="s">
        <v>142</v>
      </c>
    </row>
    <row r="884785" spans="1:1" x14ac:dyDescent="0.2">
      <c r="A884785" s="97" t="s">
        <v>143</v>
      </c>
    </row>
    <row r="884786" spans="1:1" x14ac:dyDescent="0.2">
      <c r="A884786" s="97" t="s">
        <v>144</v>
      </c>
    </row>
    <row r="884787" spans="1:1" x14ac:dyDescent="0.2">
      <c r="A884787" s="97" t="s">
        <v>145</v>
      </c>
    </row>
    <row r="884788" spans="1:1" x14ac:dyDescent="0.2">
      <c r="A884788" s="97" t="s">
        <v>146</v>
      </c>
    </row>
    <row r="884789" spans="1:1" x14ac:dyDescent="0.2">
      <c r="A884789" s="97" t="s">
        <v>147</v>
      </c>
    </row>
    <row r="884790" spans="1:1" x14ac:dyDescent="0.2">
      <c r="A884790" s="97" t="s">
        <v>148</v>
      </c>
    </row>
    <row r="884791" spans="1:1" x14ac:dyDescent="0.2">
      <c r="A884791" s="97" t="s">
        <v>149</v>
      </c>
    </row>
    <row r="884792" spans="1:1" x14ac:dyDescent="0.2">
      <c r="A884792" s="97" t="s">
        <v>150</v>
      </c>
    </row>
    <row r="884793" spans="1:1" x14ac:dyDescent="0.2">
      <c r="A884793" s="97" t="s">
        <v>151</v>
      </c>
    </row>
    <row r="884794" spans="1:1" x14ac:dyDescent="0.2">
      <c r="A884794" s="97" t="s">
        <v>152</v>
      </c>
    </row>
    <row r="884795" spans="1:1" x14ac:dyDescent="0.2">
      <c r="A884795" s="97" t="s">
        <v>153</v>
      </c>
    </row>
    <row r="884796" spans="1:1" x14ac:dyDescent="0.2">
      <c r="A884796" s="97" t="s">
        <v>154</v>
      </c>
    </row>
    <row r="884797" spans="1:1" x14ac:dyDescent="0.2">
      <c r="A884797" s="97" t="s">
        <v>155</v>
      </c>
    </row>
    <row r="884798" spans="1:1" x14ac:dyDescent="0.2">
      <c r="A884798" s="97" t="s">
        <v>156</v>
      </c>
    </row>
    <row r="884799" spans="1:1" x14ac:dyDescent="0.2">
      <c r="A884799" s="97" t="s">
        <v>157</v>
      </c>
    </row>
    <row r="884800" spans="1:1" x14ac:dyDescent="0.2">
      <c r="A884800" s="97" t="s">
        <v>158</v>
      </c>
    </row>
    <row r="884801" spans="1:1" x14ac:dyDescent="0.2">
      <c r="A884801" s="97" t="s">
        <v>159</v>
      </c>
    </row>
    <row r="884802" spans="1:1" x14ac:dyDescent="0.2">
      <c r="A884802" s="97" t="s">
        <v>160</v>
      </c>
    </row>
    <row r="884803" spans="1:1" x14ac:dyDescent="0.2">
      <c r="A884803" s="97" t="s">
        <v>161</v>
      </c>
    </row>
    <row r="884804" spans="1:1" x14ac:dyDescent="0.2">
      <c r="A884804" s="97" t="s">
        <v>162</v>
      </c>
    </row>
    <row r="884805" spans="1:1" x14ac:dyDescent="0.2">
      <c r="A884805" s="97" t="s">
        <v>163</v>
      </c>
    </row>
    <row r="884806" spans="1:1" x14ac:dyDescent="0.2">
      <c r="A884806" s="97" t="s">
        <v>164</v>
      </c>
    </row>
    <row r="884807" spans="1:1" x14ac:dyDescent="0.2">
      <c r="A884807" s="97" t="s">
        <v>165</v>
      </c>
    </row>
    <row r="884808" spans="1:1" x14ac:dyDescent="0.2">
      <c r="A884808" s="97" t="s">
        <v>166</v>
      </c>
    </row>
    <row r="884809" spans="1:1" x14ac:dyDescent="0.2">
      <c r="A884809" s="97" t="s">
        <v>167</v>
      </c>
    </row>
    <row r="884810" spans="1:1" x14ac:dyDescent="0.2">
      <c r="A884810" s="97" t="s">
        <v>168</v>
      </c>
    </row>
    <row r="884811" spans="1:1" x14ac:dyDescent="0.2">
      <c r="A884811" s="97" t="s">
        <v>169</v>
      </c>
    </row>
    <row r="884812" spans="1:1" x14ac:dyDescent="0.2">
      <c r="A884812" s="97" t="s">
        <v>170</v>
      </c>
    </row>
    <row r="884813" spans="1:1" x14ac:dyDescent="0.2">
      <c r="A884813" s="97" t="s">
        <v>171</v>
      </c>
    </row>
    <row r="884814" spans="1:1" x14ac:dyDescent="0.2">
      <c r="A884814" s="97" t="s">
        <v>172</v>
      </c>
    </row>
    <row r="884815" spans="1:1" x14ac:dyDescent="0.2">
      <c r="A884815" s="97" t="s">
        <v>173</v>
      </c>
    </row>
    <row r="884816" spans="1:1" x14ac:dyDescent="0.2">
      <c r="A884816" s="97" t="s">
        <v>174</v>
      </c>
    </row>
    <row r="884817" spans="1:1" x14ac:dyDescent="0.2">
      <c r="A884817" s="97" t="s">
        <v>175</v>
      </c>
    </row>
    <row r="884818" spans="1:1" x14ac:dyDescent="0.2">
      <c r="A884818" s="97" t="s">
        <v>176</v>
      </c>
    </row>
    <row r="884819" spans="1:1" x14ac:dyDescent="0.2">
      <c r="A884819" s="97" t="s">
        <v>177</v>
      </c>
    </row>
    <row r="884820" spans="1:1" x14ac:dyDescent="0.2">
      <c r="A884820" s="97" t="s">
        <v>178</v>
      </c>
    </row>
    <row r="884821" spans="1:1" x14ac:dyDescent="0.2">
      <c r="A884821" s="97" t="s">
        <v>179</v>
      </c>
    </row>
    <row r="884822" spans="1:1" x14ac:dyDescent="0.2">
      <c r="A884822" s="97" t="s">
        <v>180</v>
      </c>
    </row>
    <row r="884823" spans="1:1" x14ac:dyDescent="0.2">
      <c r="A884823" s="97" t="s">
        <v>181</v>
      </c>
    </row>
    <row r="884824" spans="1:1" x14ac:dyDescent="0.2">
      <c r="A884824" s="97" t="s">
        <v>182</v>
      </c>
    </row>
    <row r="884825" spans="1:1" x14ac:dyDescent="0.2">
      <c r="A884825" s="97" t="s">
        <v>183</v>
      </c>
    </row>
    <row r="901121" spans="1:1" x14ac:dyDescent="0.2">
      <c r="A901121" s="97" t="s">
        <v>95</v>
      </c>
    </row>
    <row r="901122" spans="1:1" x14ac:dyDescent="0.2">
      <c r="A901122" s="97" t="s">
        <v>96</v>
      </c>
    </row>
    <row r="901123" spans="1:1" x14ac:dyDescent="0.2">
      <c r="A901123" s="97" t="s">
        <v>97</v>
      </c>
    </row>
    <row r="901124" spans="1:1" x14ac:dyDescent="0.2">
      <c r="A901124" s="97" t="s">
        <v>98</v>
      </c>
    </row>
    <row r="901125" spans="1:1" x14ac:dyDescent="0.2">
      <c r="A901125" s="97" t="s">
        <v>99</v>
      </c>
    </row>
    <row r="901126" spans="1:1" x14ac:dyDescent="0.2">
      <c r="A901126" s="97" t="s">
        <v>100</v>
      </c>
    </row>
    <row r="901127" spans="1:1" x14ac:dyDescent="0.2">
      <c r="A901127" s="97" t="s">
        <v>101</v>
      </c>
    </row>
    <row r="901128" spans="1:1" x14ac:dyDescent="0.2">
      <c r="A901128" s="97" t="s">
        <v>102</v>
      </c>
    </row>
    <row r="901129" spans="1:1" x14ac:dyDescent="0.2">
      <c r="A901129" s="97" t="s">
        <v>103</v>
      </c>
    </row>
    <row r="901130" spans="1:1" x14ac:dyDescent="0.2">
      <c r="A901130" s="97" t="s">
        <v>104</v>
      </c>
    </row>
    <row r="901131" spans="1:1" x14ac:dyDescent="0.2">
      <c r="A901131" s="97" t="s">
        <v>105</v>
      </c>
    </row>
    <row r="901132" spans="1:1" x14ac:dyDescent="0.2">
      <c r="A901132" s="97" t="s">
        <v>106</v>
      </c>
    </row>
    <row r="901133" spans="1:1" x14ac:dyDescent="0.2">
      <c r="A901133" s="97" t="s">
        <v>107</v>
      </c>
    </row>
    <row r="901134" spans="1:1" x14ac:dyDescent="0.2">
      <c r="A901134" s="97" t="s">
        <v>108</v>
      </c>
    </row>
    <row r="901135" spans="1:1" x14ac:dyDescent="0.2">
      <c r="A901135" s="97" t="s">
        <v>109</v>
      </c>
    </row>
    <row r="901136" spans="1:1" x14ac:dyDescent="0.2">
      <c r="A901136" s="97" t="s">
        <v>110</v>
      </c>
    </row>
    <row r="901137" spans="1:1" x14ac:dyDescent="0.2">
      <c r="A901137" s="97" t="s">
        <v>111</v>
      </c>
    </row>
    <row r="901138" spans="1:1" x14ac:dyDescent="0.2">
      <c r="A901138" s="97" t="s">
        <v>112</v>
      </c>
    </row>
    <row r="901139" spans="1:1" x14ac:dyDescent="0.2">
      <c r="A901139" s="97" t="s">
        <v>113</v>
      </c>
    </row>
    <row r="901140" spans="1:1" x14ac:dyDescent="0.2">
      <c r="A901140" s="97" t="s">
        <v>114</v>
      </c>
    </row>
    <row r="901141" spans="1:1" x14ac:dyDescent="0.2">
      <c r="A901141" s="97" t="s">
        <v>115</v>
      </c>
    </row>
    <row r="901142" spans="1:1" x14ac:dyDescent="0.2">
      <c r="A901142" s="97" t="s">
        <v>116</v>
      </c>
    </row>
    <row r="901143" spans="1:1" x14ac:dyDescent="0.2">
      <c r="A901143" s="97" t="s">
        <v>117</v>
      </c>
    </row>
    <row r="901144" spans="1:1" x14ac:dyDescent="0.2">
      <c r="A901144" s="97" t="s">
        <v>118</v>
      </c>
    </row>
    <row r="901145" spans="1:1" x14ac:dyDescent="0.2">
      <c r="A901145" s="97" t="s">
        <v>119</v>
      </c>
    </row>
    <row r="901146" spans="1:1" x14ac:dyDescent="0.2">
      <c r="A901146" s="97" t="s">
        <v>120</v>
      </c>
    </row>
    <row r="901147" spans="1:1" x14ac:dyDescent="0.2">
      <c r="A901147" s="97" t="s">
        <v>121</v>
      </c>
    </row>
    <row r="901148" spans="1:1" x14ac:dyDescent="0.2">
      <c r="A901148" s="97" t="s">
        <v>122</v>
      </c>
    </row>
    <row r="901149" spans="1:1" x14ac:dyDescent="0.2">
      <c r="A901149" s="97" t="s">
        <v>123</v>
      </c>
    </row>
    <row r="901150" spans="1:1" x14ac:dyDescent="0.2">
      <c r="A901150" s="97" t="s">
        <v>124</v>
      </c>
    </row>
    <row r="901151" spans="1:1" x14ac:dyDescent="0.2">
      <c r="A901151" s="97" t="s">
        <v>125</v>
      </c>
    </row>
    <row r="901152" spans="1:1" x14ac:dyDescent="0.2">
      <c r="A901152" s="97" t="s">
        <v>126</v>
      </c>
    </row>
    <row r="901153" spans="1:1" x14ac:dyDescent="0.2">
      <c r="A901153" s="97" t="s">
        <v>127</v>
      </c>
    </row>
    <row r="901154" spans="1:1" x14ac:dyDescent="0.2">
      <c r="A901154" s="97" t="s">
        <v>128</v>
      </c>
    </row>
    <row r="901155" spans="1:1" x14ac:dyDescent="0.2">
      <c r="A901155" s="97" t="s">
        <v>129</v>
      </c>
    </row>
    <row r="901156" spans="1:1" x14ac:dyDescent="0.2">
      <c r="A901156" s="97" t="s">
        <v>130</v>
      </c>
    </row>
    <row r="901157" spans="1:1" x14ac:dyDescent="0.2">
      <c r="A901157" s="97" t="s">
        <v>131</v>
      </c>
    </row>
    <row r="901158" spans="1:1" x14ac:dyDescent="0.2">
      <c r="A901158" s="97" t="s">
        <v>132</v>
      </c>
    </row>
    <row r="901159" spans="1:1" x14ac:dyDescent="0.2">
      <c r="A901159" s="97" t="s">
        <v>133</v>
      </c>
    </row>
    <row r="901160" spans="1:1" x14ac:dyDescent="0.2">
      <c r="A901160" s="97" t="s">
        <v>134</v>
      </c>
    </row>
    <row r="901161" spans="1:1" x14ac:dyDescent="0.2">
      <c r="A901161" s="97" t="s">
        <v>135</v>
      </c>
    </row>
    <row r="901162" spans="1:1" x14ac:dyDescent="0.2">
      <c r="A901162" s="97" t="s">
        <v>136</v>
      </c>
    </row>
    <row r="901163" spans="1:1" x14ac:dyDescent="0.2">
      <c r="A901163" s="97" t="s">
        <v>137</v>
      </c>
    </row>
    <row r="901164" spans="1:1" x14ac:dyDescent="0.2">
      <c r="A901164" s="97" t="s">
        <v>138</v>
      </c>
    </row>
    <row r="901165" spans="1:1" x14ac:dyDescent="0.2">
      <c r="A901165" s="97" t="s">
        <v>139</v>
      </c>
    </row>
    <row r="901166" spans="1:1" x14ac:dyDescent="0.2">
      <c r="A901166" s="97" t="s">
        <v>140</v>
      </c>
    </row>
    <row r="901167" spans="1:1" x14ac:dyDescent="0.2">
      <c r="A901167" s="97" t="s">
        <v>141</v>
      </c>
    </row>
    <row r="901168" spans="1:1" x14ac:dyDescent="0.2">
      <c r="A901168" s="97" t="s">
        <v>142</v>
      </c>
    </row>
    <row r="901169" spans="1:1" x14ac:dyDescent="0.2">
      <c r="A901169" s="97" t="s">
        <v>143</v>
      </c>
    </row>
    <row r="901170" spans="1:1" x14ac:dyDescent="0.2">
      <c r="A901170" s="97" t="s">
        <v>144</v>
      </c>
    </row>
    <row r="901171" spans="1:1" x14ac:dyDescent="0.2">
      <c r="A901171" s="97" t="s">
        <v>145</v>
      </c>
    </row>
    <row r="901172" spans="1:1" x14ac:dyDescent="0.2">
      <c r="A901172" s="97" t="s">
        <v>146</v>
      </c>
    </row>
    <row r="901173" spans="1:1" x14ac:dyDescent="0.2">
      <c r="A901173" s="97" t="s">
        <v>147</v>
      </c>
    </row>
    <row r="901174" spans="1:1" x14ac:dyDescent="0.2">
      <c r="A901174" s="97" t="s">
        <v>148</v>
      </c>
    </row>
    <row r="901175" spans="1:1" x14ac:dyDescent="0.2">
      <c r="A901175" s="97" t="s">
        <v>149</v>
      </c>
    </row>
    <row r="901176" spans="1:1" x14ac:dyDescent="0.2">
      <c r="A901176" s="97" t="s">
        <v>150</v>
      </c>
    </row>
    <row r="901177" spans="1:1" x14ac:dyDescent="0.2">
      <c r="A901177" s="97" t="s">
        <v>151</v>
      </c>
    </row>
    <row r="901178" spans="1:1" x14ac:dyDescent="0.2">
      <c r="A901178" s="97" t="s">
        <v>152</v>
      </c>
    </row>
    <row r="901179" spans="1:1" x14ac:dyDescent="0.2">
      <c r="A901179" s="97" t="s">
        <v>153</v>
      </c>
    </row>
    <row r="901180" spans="1:1" x14ac:dyDescent="0.2">
      <c r="A901180" s="97" t="s">
        <v>154</v>
      </c>
    </row>
    <row r="901181" spans="1:1" x14ac:dyDescent="0.2">
      <c r="A901181" s="97" t="s">
        <v>155</v>
      </c>
    </row>
    <row r="901182" spans="1:1" x14ac:dyDescent="0.2">
      <c r="A901182" s="97" t="s">
        <v>156</v>
      </c>
    </row>
    <row r="901183" spans="1:1" x14ac:dyDescent="0.2">
      <c r="A901183" s="97" t="s">
        <v>157</v>
      </c>
    </row>
    <row r="901184" spans="1:1" x14ac:dyDescent="0.2">
      <c r="A901184" s="97" t="s">
        <v>158</v>
      </c>
    </row>
    <row r="901185" spans="1:1" x14ac:dyDescent="0.2">
      <c r="A901185" s="97" t="s">
        <v>159</v>
      </c>
    </row>
    <row r="901186" spans="1:1" x14ac:dyDescent="0.2">
      <c r="A901186" s="97" t="s">
        <v>160</v>
      </c>
    </row>
    <row r="901187" spans="1:1" x14ac:dyDescent="0.2">
      <c r="A901187" s="97" t="s">
        <v>161</v>
      </c>
    </row>
    <row r="901188" spans="1:1" x14ac:dyDescent="0.2">
      <c r="A901188" s="97" t="s">
        <v>162</v>
      </c>
    </row>
    <row r="901189" spans="1:1" x14ac:dyDescent="0.2">
      <c r="A901189" s="97" t="s">
        <v>163</v>
      </c>
    </row>
    <row r="901190" spans="1:1" x14ac:dyDescent="0.2">
      <c r="A901190" s="97" t="s">
        <v>164</v>
      </c>
    </row>
    <row r="901191" spans="1:1" x14ac:dyDescent="0.2">
      <c r="A901191" s="97" t="s">
        <v>165</v>
      </c>
    </row>
    <row r="901192" spans="1:1" x14ac:dyDescent="0.2">
      <c r="A901192" s="97" t="s">
        <v>166</v>
      </c>
    </row>
    <row r="901193" spans="1:1" x14ac:dyDescent="0.2">
      <c r="A901193" s="97" t="s">
        <v>167</v>
      </c>
    </row>
    <row r="901194" spans="1:1" x14ac:dyDescent="0.2">
      <c r="A901194" s="97" t="s">
        <v>168</v>
      </c>
    </row>
    <row r="901195" spans="1:1" x14ac:dyDescent="0.2">
      <c r="A901195" s="97" t="s">
        <v>169</v>
      </c>
    </row>
    <row r="901196" spans="1:1" x14ac:dyDescent="0.2">
      <c r="A901196" s="97" t="s">
        <v>170</v>
      </c>
    </row>
    <row r="901197" spans="1:1" x14ac:dyDescent="0.2">
      <c r="A901197" s="97" t="s">
        <v>171</v>
      </c>
    </row>
    <row r="901198" spans="1:1" x14ac:dyDescent="0.2">
      <c r="A901198" s="97" t="s">
        <v>172</v>
      </c>
    </row>
    <row r="901199" spans="1:1" x14ac:dyDescent="0.2">
      <c r="A901199" s="97" t="s">
        <v>173</v>
      </c>
    </row>
    <row r="901200" spans="1:1" x14ac:dyDescent="0.2">
      <c r="A901200" s="97" t="s">
        <v>174</v>
      </c>
    </row>
    <row r="901201" spans="1:1" x14ac:dyDescent="0.2">
      <c r="A901201" s="97" t="s">
        <v>175</v>
      </c>
    </row>
    <row r="901202" spans="1:1" x14ac:dyDescent="0.2">
      <c r="A901202" s="97" t="s">
        <v>176</v>
      </c>
    </row>
    <row r="901203" spans="1:1" x14ac:dyDescent="0.2">
      <c r="A901203" s="97" t="s">
        <v>177</v>
      </c>
    </row>
    <row r="901204" spans="1:1" x14ac:dyDescent="0.2">
      <c r="A901204" s="97" t="s">
        <v>178</v>
      </c>
    </row>
    <row r="901205" spans="1:1" x14ac:dyDescent="0.2">
      <c r="A901205" s="97" t="s">
        <v>179</v>
      </c>
    </row>
    <row r="901206" spans="1:1" x14ac:dyDescent="0.2">
      <c r="A901206" s="97" t="s">
        <v>180</v>
      </c>
    </row>
    <row r="901207" spans="1:1" x14ac:dyDescent="0.2">
      <c r="A901207" s="97" t="s">
        <v>181</v>
      </c>
    </row>
    <row r="901208" spans="1:1" x14ac:dyDescent="0.2">
      <c r="A901208" s="97" t="s">
        <v>182</v>
      </c>
    </row>
    <row r="901209" spans="1:1" x14ac:dyDescent="0.2">
      <c r="A901209" s="97" t="s">
        <v>183</v>
      </c>
    </row>
    <row r="917505" spans="1:1" x14ac:dyDescent="0.2">
      <c r="A917505" s="97" t="s">
        <v>95</v>
      </c>
    </row>
    <row r="917506" spans="1:1" x14ac:dyDescent="0.2">
      <c r="A917506" s="97" t="s">
        <v>96</v>
      </c>
    </row>
    <row r="917507" spans="1:1" x14ac:dyDescent="0.2">
      <c r="A917507" s="97" t="s">
        <v>97</v>
      </c>
    </row>
    <row r="917508" spans="1:1" x14ac:dyDescent="0.2">
      <c r="A917508" s="97" t="s">
        <v>98</v>
      </c>
    </row>
    <row r="917509" spans="1:1" x14ac:dyDescent="0.2">
      <c r="A917509" s="97" t="s">
        <v>99</v>
      </c>
    </row>
    <row r="917510" spans="1:1" x14ac:dyDescent="0.2">
      <c r="A917510" s="97" t="s">
        <v>100</v>
      </c>
    </row>
    <row r="917511" spans="1:1" x14ac:dyDescent="0.2">
      <c r="A917511" s="97" t="s">
        <v>101</v>
      </c>
    </row>
    <row r="917512" spans="1:1" x14ac:dyDescent="0.2">
      <c r="A917512" s="97" t="s">
        <v>102</v>
      </c>
    </row>
    <row r="917513" spans="1:1" x14ac:dyDescent="0.2">
      <c r="A917513" s="97" t="s">
        <v>103</v>
      </c>
    </row>
    <row r="917514" spans="1:1" x14ac:dyDescent="0.2">
      <c r="A917514" s="97" t="s">
        <v>104</v>
      </c>
    </row>
    <row r="917515" spans="1:1" x14ac:dyDescent="0.2">
      <c r="A917515" s="97" t="s">
        <v>105</v>
      </c>
    </row>
    <row r="917516" spans="1:1" x14ac:dyDescent="0.2">
      <c r="A917516" s="97" t="s">
        <v>106</v>
      </c>
    </row>
    <row r="917517" spans="1:1" x14ac:dyDescent="0.2">
      <c r="A917517" s="97" t="s">
        <v>107</v>
      </c>
    </row>
    <row r="917518" spans="1:1" x14ac:dyDescent="0.2">
      <c r="A917518" s="97" t="s">
        <v>108</v>
      </c>
    </row>
    <row r="917519" spans="1:1" x14ac:dyDescent="0.2">
      <c r="A917519" s="97" t="s">
        <v>109</v>
      </c>
    </row>
    <row r="917520" spans="1:1" x14ac:dyDescent="0.2">
      <c r="A917520" s="97" t="s">
        <v>110</v>
      </c>
    </row>
    <row r="917521" spans="1:1" x14ac:dyDescent="0.2">
      <c r="A917521" s="97" t="s">
        <v>111</v>
      </c>
    </row>
    <row r="917522" spans="1:1" x14ac:dyDescent="0.2">
      <c r="A917522" s="97" t="s">
        <v>112</v>
      </c>
    </row>
    <row r="917523" spans="1:1" x14ac:dyDescent="0.2">
      <c r="A917523" s="97" t="s">
        <v>113</v>
      </c>
    </row>
    <row r="917524" spans="1:1" x14ac:dyDescent="0.2">
      <c r="A917524" s="97" t="s">
        <v>114</v>
      </c>
    </row>
    <row r="917525" spans="1:1" x14ac:dyDescent="0.2">
      <c r="A917525" s="97" t="s">
        <v>115</v>
      </c>
    </row>
    <row r="917526" spans="1:1" x14ac:dyDescent="0.2">
      <c r="A917526" s="97" t="s">
        <v>116</v>
      </c>
    </row>
    <row r="917527" spans="1:1" x14ac:dyDescent="0.2">
      <c r="A917527" s="97" t="s">
        <v>117</v>
      </c>
    </row>
    <row r="917528" spans="1:1" x14ac:dyDescent="0.2">
      <c r="A917528" s="97" t="s">
        <v>118</v>
      </c>
    </row>
    <row r="917529" spans="1:1" x14ac:dyDescent="0.2">
      <c r="A917529" s="97" t="s">
        <v>119</v>
      </c>
    </row>
    <row r="917530" spans="1:1" x14ac:dyDescent="0.2">
      <c r="A917530" s="97" t="s">
        <v>120</v>
      </c>
    </row>
    <row r="917531" spans="1:1" x14ac:dyDescent="0.2">
      <c r="A917531" s="97" t="s">
        <v>121</v>
      </c>
    </row>
    <row r="917532" spans="1:1" x14ac:dyDescent="0.2">
      <c r="A917532" s="97" t="s">
        <v>122</v>
      </c>
    </row>
    <row r="917533" spans="1:1" x14ac:dyDescent="0.2">
      <c r="A917533" s="97" t="s">
        <v>123</v>
      </c>
    </row>
    <row r="917534" spans="1:1" x14ac:dyDescent="0.2">
      <c r="A917534" s="97" t="s">
        <v>124</v>
      </c>
    </row>
    <row r="917535" spans="1:1" x14ac:dyDescent="0.2">
      <c r="A917535" s="97" t="s">
        <v>125</v>
      </c>
    </row>
    <row r="917536" spans="1:1" x14ac:dyDescent="0.2">
      <c r="A917536" s="97" t="s">
        <v>126</v>
      </c>
    </row>
    <row r="917537" spans="1:1" x14ac:dyDescent="0.2">
      <c r="A917537" s="97" t="s">
        <v>127</v>
      </c>
    </row>
    <row r="917538" spans="1:1" x14ac:dyDescent="0.2">
      <c r="A917538" s="97" t="s">
        <v>128</v>
      </c>
    </row>
    <row r="917539" spans="1:1" x14ac:dyDescent="0.2">
      <c r="A917539" s="97" t="s">
        <v>129</v>
      </c>
    </row>
    <row r="917540" spans="1:1" x14ac:dyDescent="0.2">
      <c r="A917540" s="97" t="s">
        <v>130</v>
      </c>
    </row>
    <row r="917541" spans="1:1" x14ac:dyDescent="0.2">
      <c r="A917541" s="97" t="s">
        <v>131</v>
      </c>
    </row>
    <row r="917542" spans="1:1" x14ac:dyDescent="0.2">
      <c r="A917542" s="97" t="s">
        <v>132</v>
      </c>
    </row>
    <row r="917543" spans="1:1" x14ac:dyDescent="0.2">
      <c r="A917543" s="97" t="s">
        <v>133</v>
      </c>
    </row>
    <row r="917544" spans="1:1" x14ac:dyDescent="0.2">
      <c r="A917544" s="97" t="s">
        <v>134</v>
      </c>
    </row>
    <row r="917545" spans="1:1" x14ac:dyDescent="0.2">
      <c r="A917545" s="97" t="s">
        <v>135</v>
      </c>
    </row>
    <row r="917546" spans="1:1" x14ac:dyDescent="0.2">
      <c r="A917546" s="97" t="s">
        <v>136</v>
      </c>
    </row>
    <row r="917547" spans="1:1" x14ac:dyDescent="0.2">
      <c r="A917547" s="97" t="s">
        <v>137</v>
      </c>
    </row>
    <row r="917548" spans="1:1" x14ac:dyDescent="0.2">
      <c r="A917548" s="97" t="s">
        <v>138</v>
      </c>
    </row>
    <row r="917549" spans="1:1" x14ac:dyDescent="0.2">
      <c r="A917549" s="97" t="s">
        <v>139</v>
      </c>
    </row>
    <row r="917550" spans="1:1" x14ac:dyDescent="0.2">
      <c r="A917550" s="97" t="s">
        <v>140</v>
      </c>
    </row>
    <row r="917551" spans="1:1" x14ac:dyDescent="0.2">
      <c r="A917551" s="97" t="s">
        <v>141</v>
      </c>
    </row>
    <row r="917552" spans="1:1" x14ac:dyDescent="0.2">
      <c r="A917552" s="97" t="s">
        <v>142</v>
      </c>
    </row>
    <row r="917553" spans="1:1" x14ac:dyDescent="0.2">
      <c r="A917553" s="97" t="s">
        <v>143</v>
      </c>
    </row>
    <row r="917554" spans="1:1" x14ac:dyDescent="0.2">
      <c r="A917554" s="97" t="s">
        <v>144</v>
      </c>
    </row>
    <row r="917555" spans="1:1" x14ac:dyDescent="0.2">
      <c r="A917555" s="97" t="s">
        <v>145</v>
      </c>
    </row>
    <row r="917556" spans="1:1" x14ac:dyDescent="0.2">
      <c r="A917556" s="97" t="s">
        <v>146</v>
      </c>
    </row>
    <row r="917557" spans="1:1" x14ac:dyDescent="0.2">
      <c r="A917557" s="97" t="s">
        <v>147</v>
      </c>
    </row>
    <row r="917558" spans="1:1" x14ac:dyDescent="0.2">
      <c r="A917558" s="97" t="s">
        <v>148</v>
      </c>
    </row>
    <row r="917559" spans="1:1" x14ac:dyDescent="0.2">
      <c r="A917559" s="97" t="s">
        <v>149</v>
      </c>
    </row>
    <row r="917560" spans="1:1" x14ac:dyDescent="0.2">
      <c r="A917560" s="97" t="s">
        <v>150</v>
      </c>
    </row>
    <row r="917561" spans="1:1" x14ac:dyDescent="0.2">
      <c r="A917561" s="97" t="s">
        <v>151</v>
      </c>
    </row>
    <row r="917562" spans="1:1" x14ac:dyDescent="0.2">
      <c r="A917562" s="97" t="s">
        <v>152</v>
      </c>
    </row>
    <row r="917563" spans="1:1" x14ac:dyDescent="0.2">
      <c r="A917563" s="97" t="s">
        <v>153</v>
      </c>
    </row>
    <row r="917564" spans="1:1" x14ac:dyDescent="0.2">
      <c r="A917564" s="97" t="s">
        <v>154</v>
      </c>
    </row>
    <row r="917565" spans="1:1" x14ac:dyDescent="0.2">
      <c r="A917565" s="97" t="s">
        <v>155</v>
      </c>
    </row>
    <row r="917566" spans="1:1" x14ac:dyDescent="0.2">
      <c r="A917566" s="97" t="s">
        <v>156</v>
      </c>
    </row>
    <row r="917567" spans="1:1" x14ac:dyDescent="0.2">
      <c r="A917567" s="97" t="s">
        <v>157</v>
      </c>
    </row>
    <row r="917568" spans="1:1" x14ac:dyDescent="0.2">
      <c r="A917568" s="97" t="s">
        <v>158</v>
      </c>
    </row>
    <row r="917569" spans="1:1" x14ac:dyDescent="0.2">
      <c r="A917569" s="97" t="s">
        <v>159</v>
      </c>
    </row>
    <row r="917570" spans="1:1" x14ac:dyDescent="0.2">
      <c r="A917570" s="97" t="s">
        <v>160</v>
      </c>
    </row>
    <row r="917571" spans="1:1" x14ac:dyDescent="0.2">
      <c r="A917571" s="97" t="s">
        <v>161</v>
      </c>
    </row>
    <row r="917572" spans="1:1" x14ac:dyDescent="0.2">
      <c r="A917572" s="97" t="s">
        <v>162</v>
      </c>
    </row>
    <row r="917573" spans="1:1" x14ac:dyDescent="0.2">
      <c r="A917573" s="97" t="s">
        <v>163</v>
      </c>
    </row>
    <row r="917574" spans="1:1" x14ac:dyDescent="0.2">
      <c r="A917574" s="97" t="s">
        <v>164</v>
      </c>
    </row>
    <row r="917575" spans="1:1" x14ac:dyDescent="0.2">
      <c r="A917575" s="97" t="s">
        <v>165</v>
      </c>
    </row>
    <row r="917576" spans="1:1" x14ac:dyDescent="0.2">
      <c r="A917576" s="97" t="s">
        <v>166</v>
      </c>
    </row>
    <row r="917577" spans="1:1" x14ac:dyDescent="0.2">
      <c r="A917577" s="97" t="s">
        <v>167</v>
      </c>
    </row>
    <row r="917578" spans="1:1" x14ac:dyDescent="0.2">
      <c r="A917578" s="97" t="s">
        <v>168</v>
      </c>
    </row>
    <row r="917579" spans="1:1" x14ac:dyDescent="0.2">
      <c r="A917579" s="97" t="s">
        <v>169</v>
      </c>
    </row>
    <row r="917580" spans="1:1" x14ac:dyDescent="0.2">
      <c r="A917580" s="97" t="s">
        <v>170</v>
      </c>
    </row>
    <row r="917581" spans="1:1" x14ac:dyDescent="0.2">
      <c r="A917581" s="97" t="s">
        <v>171</v>
      </c>
    </row>
    <row r="917582" spans="1:1" x14ac:dyDescent="0.2">
      <c r="A917582" s="97" t="s">
        <v>172</v>
      </c>
    </row>
    <row r="917583" spans="1:1" x14ac:dyDescent="0.2">
      <c r="A917583" s="97" t="s">
        <v>173</v>
      </c>
    </row>
    <row r="917584" spans="1:1" x14ac:dyDescent="0.2">
      <c r="A917584" s="97" t="s">
        <v>174</v>
      </c>
    </row>
    <row r="917585" spans="1:1" x14ac:dyDescent="0.2">
      <c r="A917585" s="97" t="s">
        <v>175</v>
      </c>
    </row>
    <row r="917586" spans="1:1" x14ac:dyDescent="0.2">
      <c r="A917586" s="97" t="s">
        <v>176</v>
      </c>
    </row>
    <row r="917587" spans="1:1" x14ac:dyDescent="0.2">
      <c r="A917587" s="97" t="s">
        <v>177</v>
      </c>
    </row>
    <row r="917588" spans="1:1" x14ac:dyDescent="0.2">
      <c r="A917588" s="97" t="s">
        <v>178</v>
      </c>
    </row>
    <row r="917589" spans="1:1" x14ac:dyDescent="0.2">
      <c r="A917589" s="97" t="s">
        <v>179</v>
      </c>
    </row>
    <row r="917590" spans="1:1" x14ac:dyDescent="0.2">
      <c r="A917590" s="97" t="s">
        <v>180</v>
      </c>
    </row>
    <row r="917591" spans="1:1" x14ac:dyDescent="0.2">
      <c r="A917591" s="97" t="s">
        <v>181</v>
      </c>
    </row>
    <row r="917592" spans="1:1" x14ac:dyDescent="0.2">
      <c r="A917592" s="97" t="s">
        <v>182</v>
      </c>
    </row>
    <row r="917593" spans="1:1" x14ac:dyDescent="0.2">
      <c r="A917593" s="97" t="s">
        <v>183</v>
      </c>
    </row>
    <row r="933889" spans="1:1" x14ac:dyDescent="0.2">
      <c r="A933889" s="97" t="s">
        <v>95</v>
      </c>
    </row>
    <row r="933890" spans="1:1" x14ac:dyDescent="0.2">
      <c r="A933890" s="97" t="s">
        <v>96</v>
      </c>
    </row>
    <row r="933891" spans="1:1" x14ac:dyDescent="0.2">
      <c r="A933891" s="97" t="s">
        <v>97</v>
      </c>
    </row>
    <row r="933892" spans="1:1" x14ac:dyDescent="0.2">
      <c r="A933892" s="97" t="s">
        <v>98</v>
      </c>
    </row>
    <row r="933893" spans="1:1" x14ac:dyDescent="0.2">
      <c r="A933893" s="97" t="s">
        <v>99</v>
      </c>
    </row>
    <row r="933894" spans="1:1" x14ac:dyDescent="0.2">
      <c r="A933894" s="97" t="s">
        <v>100</v>
      </c>
    </row>
    <row r="933895" spans="1:1" x14ac:dyDescent="0.2">
      <c r="A933895" s="97" t="s">
        <v>101</v>
      </c>
    </row>
    <row r="933896" spans="1:1" x14ac:dyDescent="0.2">
      <c r="A933896" s="97" t="s">
        <v>102</v>
      </c>
    </row>
    <row r="933897" spans="1:1" x14ac:dyDescent="0.2">
      <c r="A933897" s="97" t="s">
        <v>103</v>
      </c>
    </row>
    <row r="933898" spans="1:1" x14ac:dyDescent="0.2">
      <c r="A933898" s="97" t="s">
        <v>104</v>
      </c>
    </row>
    <row r="933899" spans="1:1" x14ac:dyDescent="0.2">
      <c r="A933899" s="97" t="s">
        <v>105</v>
      </c>
    </row>
    <row r="933900" spans="1:1" x14ac:dyDescent="0.2">
      <c r="A933900" s="97" t="s">
        <v>106</v>
      </c>
    </row>
    <row r="933901" spans="1:1" x14ac:dyDescent="0.2">
      <c r="A933901" s="97" t="s">
        <v>107</v>
      </c>
    </row>
    <row r="933902" spans="1:1" x14ac:dyDescent="0.2">
      <c r="A933902" s="97" t="s">
        <v>108</v>
      </c>
    </row>
    <row r="933903" spans="1:1" x14ac:dyDescent="0.2">
      <c r="A933903" s="97" t="s">
        <v>109</v>
      </c>
    </row>
    <row r="933904" spans="1:1" x14ac:dyDescent="0.2">
      <c r="A933904" s="97" t="s">
        <v>110</v>
      </c>
    </row>
    <row r="933905" spans="1:1" x14ac:dyDescent="0.2">
      <c r="A933905" s="97" t="s">
        <v>111</v>
      </c>
    </row>
    <row r="933906" spans="1:1" x14ac:dyDescent="0.2">
      <c r="A933906" s="97" t="s">
        <v>112</v>
      </c>
    </row>
    <row r="933907" spans="1:1" x14ac:dyDescent="0.2">
      <c r="A933907" s="97" t="s">
        <v>113</v>
      </c>
    </row>
    <row r="933908" spans="1:1" x14ac:dyDescent="0.2">
      <c r="A933908" s="97" t="s">
        <v>114</v>
      </c>
    </row>
    <row r="933909" spans="1:1" x14ac:dyDescent="0.2">
      <c r="A933909" s="97" t="s">
        <v>115</v>
      </c>
    </row>
    <row r="933910" spans="1:1" x14ac:dyDescent="0.2">
      <c r="A933910" s="97" t="s">
        <v>116</v>
      </c>
    </row>
    <row r="933911" spans="1:1" x14ac:dyDescent="0.2">
      <c r="A933911" s="97" t="s">
        <v>117</v>
      </c>
    </row>
    <row r="933912" spans="1:1" x14ac:dyDescent="0.2">
      <c r="A933912" s="97" t="s">
        <v>118</v>
      </c>
    </row>
    <row r="933913" spans="1:1" x14ac:dyDescent="0.2">
      <c r="A933913" s="97" t="s">
        <v>119</v>
      </c>
    </row>
    <row r="933914" spans="1:1" x14ac:dyDescent="0.2">
      <c r="A933914" s="97" t="s">
        <v>120</v>
      </c>
    </row>
    <row r="933915" spans="1:1" x14ac:dyDescent="0.2">
      <c r="A933915" s="97" t="s">
        <v>121</v>
      </c>
    </row>
    <row r="933916" spans="1:1" x14ac:dyDescent="0.2">
      <c r="A933916" s="97" t="s">
        <v>122</v>
      </c>
    </row>
    <row r="933917" spans="1:1" x14ac:dyDescent="0.2">
      <c r="A933917" s="97" t="s">
        <v>123</v>
      </c>
    </row>
    <row r="933918" spans="1:1" x14ac:dyDescent="0.2">
      <c r="A933918" s="97" t="s">
        <v>124</v>
      </c>
    </row>
    <row r="933919" spans="1:1" x14ac:dyDescent="0.2">
      <c r="A933919" s="97" t="s">
        <v>125</v>
      </c>
    </row>
    <row r="933920" spans="1:1" x14ac:dyDescent="0.2">
      <c r="A933920" s="97" t="s">
        <v>126</v>
      </c>
    </row>
    <row r="933921" spans="1:1" x14ac:dyDescent="0.2">
      <c r="A933921" s="97" t="s">
        <v>127</v>
      </c>
    </row>
    <row r="933922" spans="1:1" x14ac:dyDescent="0.2">
      <c r="A933922" s="97" t="s">
        <v>128</v>
      </c>
    </row>
    <row r="933923" spans="1:1" x14ac:dyDescent="0.2">
      <c r="A933923" s="97" t="s">
        <v>129</v>
      </c>
    </row>
    <row r="933924" spans="1:1" x14ac:dyDescent="0.2">
      <c r="A933924" s="97" t="s">
        <v>130</v>
      </c>
    </row>
    <row r="933925" spans="1:1" x14ac:dyDescent="0.2">
      <c r="A933925" s="97" t="s">
        <v>131</v>
      </c>
    </row>
    <row r="933926" spans="1:1" x14ac:dyDescent="0.2">
      <c r="A933926" s="97" t="s">
        <v>132</v>
      </c>
    </row>
    <row r="933927" spans="1:1" x14ac:dyDescent="0.2">
      <c r="A933927" s="97" t="s">
        <v>133</v>
      </c>
    </row>
    <row r="933928" spans="1:1" x14ac:dyDescent="0.2">
      <c r="A933928" s="97" t="s">
        <v>134</v>
      </c>
    </row>
    <row r="933929" spans="1:1" x14ac:dyDescent="0.2">
      <c r="A933929" s="97" t="s">
        <v>135</v>
      </c>
    </row>
    <row r="933930" spans="1:1" x14ac:dyDescent="0.2">
      <c r="A933930" s="97" t="s">
        <v>136</v>
      </c>
    </row>
    <row r="933931" spans="1:1" x14ac:dyDescent="0.2">
      <c r="A933931" s="97" t="s">
        <v>137</v>
      </c>
    </row>
    <row r="933932" spans="1:1" x14ac:dyDescent="0.2">
      <c r="A933932" s="97" t="s">
        <v>138</v>
      </c>
    </row>
    <row r="933933" spans="1:1" x14ac:dyDescent="0.2">
      <c r="A933933" s="97" t="s">
        <v>139</v>
      </c>
    </row>
    <row r="933934" spans="1:1" x14ac:dyDescent="0.2">
      <c r="A933934" s="97" t="s">
        <v>140</v>
      </c>
    </row>
    <row r="933935" spans="1:1" x14ac:dyDescent="0.2">
      <c r="A933935" s="97" t="s">
        <v>141</v>
      </c>
    </row>
    <row r="933936" spans="1:1" x14ac:dyDescent="0.2">
      <c r="A933936" s="97" t="s">
        <v>142</v>
      </c>
    </row>
    <row r="933937" spans="1:1" x14ac:dyDescent="0.2">
      <c r="A933937" s="97" t="s">
        <v>143</v>
      </c>
    </row>
    <row r="933938" spans="1:1" x14ac:dyDescent="0.2">
      <c r="A933938" s="97" t="s">
        <v>144</v>
      </c>
    </row>
    <row r="933939" spans="1:1" x14ac:dyDescent="0.2">
      <c r="A933939" s="97" t="s">
        <v>145</v>
      </c>
    </row>
    <row r="933940" spans="1:1" x14ac:dyDescent="0.2">
      <c r="A933940" s="97" t="s">
        <v>146</v>
      </c>
    </row>
    <row r="933941" spans="1:1" x14ac:dyDescent="0.2">
      <c r="A933941" s="97" t="s">
        <v>147</v>
      </c>
    </row>
    <row r="933942" spans="1:1" x14ac:dyDescent="0.2">
      <c r="A933942" s="97" t="s">
        <v>148</v>
      </c>
    </row>
    <row r="933943" spans="1:1" x14ac:dyDescent="0.2">
      <c r="A933943" s="97" t="s">
        <v>149</v>
      </c>
    </row>
    <row r="933944" spans="1:1" x14ac:dyDescent="0.2">
      <c r="A933944" s="97" t="s">
        <v>150</v>
      </c>
    </row>
    <row r="933945" spans="1:1" x14ac:dyDescent="0.2">
      <c r="A933945" s="97" t="s">
        <v>151</v>
      </c>
    </row>
    <row r="933946" spans="1:1" x14ac:dyDescent="0.2">
      <c r="A933946" s="97" t="s">
        <v>152</v>
      </c>
    </row>
    <row r="933947" spans="1:1" x14ac:dyDescent="0.2">
      <c r="A933947" s="97" t="s">
        <v>153</v>
      </c>
    </row>
    <row r="933948" spans="1:1" x14ac:dyDescent="0.2">
      <c r="A933948" s="97" t="s">
        <v>154</v>
      </c>
    </row>
    <row r="933949" spans="1:1" x14ac:dyDescent="0.2">
      <c r="A933949" s="97" t="s">
        <v>155</v>
      </c>
    </row>
    <row r="933950" spans="1:1" x14ac:dyDescent="0.2">
      <c r="A933950" s="97" t="s">
        <v>156</v>
      </c>
    </row>
    <row r="933951" spans="1:1" x14ac:dyDescent="0.2">
      <c r="A933951" s="97" t="s">
        <v>157</v>
      </c>
    </row>
    <row r="933952" spans="1:1" x14ac:dyDescent="0.2">
      <c r="A933952" s="97" t="s">
        <v>158</v>
      </c>
    </row>
    <row r="933953" spans="1:1" x14ac:dyDescent="0.2">
      <c r="A933953" s="97" t="s">
        <v>159</v>
      </c>
    </row>
    <row r="933954" spans="1:1" x14ac:dyDescent="0.2">
      <c r="A933954" s="97" t="s">
        <v>160</v>
      </c>
    </row>
    <row r="933955" spans="1:1" x14ac:dyDescent="0.2">
      <c r="A933955" s="97" t="s">
        <v>161</v>
      </c>
    </row>
    <row r="933956" spans="1:1" x14ac:dyDescent="0.2">
      <c r="A933956" s="97" t="s">
        <v>162</v>
      </c>
    </row>
    <row r="933957" spans="1:1" x14ac:dyDescent="0.2">
      <c r="A933957" s="97" t="s">
        <v>163</v>
      </c>
    </row>
    <row r="933958" spans="1:1" x14ac:dyDescent="0.2">
      <c r="A933958" s="97" t="s">
        <v>164</v>
      </c>
    </row>
    <row r="933959" spans="1:1" x14ac:dyDescent="0.2">
      <c r="A933959" s="97" t="s">
        <v>165</v>
      </c>
    </row>
    <row r="933960" spans="1:1" x14ac:dyDescent="0.2">
      <c r="A933960" s="97" t="s">
        <v>166</v>
      </c>
    </row>
    <row r="933961" spans="1:1" x14ac:dyDescent="0.2">
      <c r="A933961" s="97" t="s">
        <v>167</v>
      </c>
    </row>
    <row r="933962" spans="1:1" x14ac:dyDescent="0.2">
      <c r="A933962" s="97" t="s">
        <v>168</v>
      </c>
    </row>
    <row r="933963" spans="1:1" x14ac:dyDescent="0.2">
      <c r="A933963" s="97" t="s">
        <v>169</v>
      </c>
    </row>
    <row r="933964" spans="1:1" x14ac:dyDescent="0.2">
      <c r="A933964" s="97" t="s">
        <v>170</v>
      </c>
    </row>
    <row r="933965" spans="1:1" x14ac:dyDescent="0.2">
      <c r="A933965" s="97" t="s">
        <v>171</v>
      </c>
    </row>
    <row r="933966" spans="1:1" x14ac:dyDescent="0.2">
      <c r="A933966" s="97" t="s">
        <v>172</v>
      </c>
    </row>
    <row r="933967" spans="1:1" x14ac:dyDescent="0.2">
      <c r="A933967" s="97" t="s">
        <v>173</v>
      </c>
    </row>
    <row r="933968" spans="1:1" x14ac:dyDescent="0.2">
      <c r="A933968" s="97" t="s">
        <v>174</v>
      </c>
    </row>
    <row r="933969" spans="1:1" x14ac:dyDescent="0.2">
      <c r="A933969" s="97" t="s">
        <v>175</v>
      </c>
    </row>
    <row r="933970" spans="1:1" x14ac:dyDescent="0.2">
      <c r="A933970" s="97" t="s">
        <v>176</v>
      </c>
    </row>
    <row r="933971" spans="1:1" x14ac:dyDescent="0.2">
      <c r="A933971" s="97" t="s">
        <v>177</v>
      </c>
    </row>
    <row r="933972" spans="1:1" x14ac:dyDescent="0.2">
      <c r="A933972" s="97" t="s">
        <v>178</v>
      </c>
    </row>
    <row r="933973" spans="1:1" x14ac:dyDescent="0.2">
      <c r="A933973" s="97" t="s">
        <v>179</v>
      </c>
    </row>
    <row r="933974" spans="1:1" x14ac:dyDescent="0.2">
      <c r="A933974" s="97" t="s">
        <v>180</v>
      </c>
    </row>
    <row r="933975" spans="1:1" x14ac:dyDescent="0.2">
      <c r="A933975" s="97" t="s">
        <v>181</v>
      </c>
    </row>
    <row r="933976" spans="1:1" x14ac:dyDescent="0.2">
      <c r="A933976" s="97" t="s">
        <v>182</v>
      </c>
    </row>
    <row r="933977" spans="1:1" x14ac:dyDescent="0.2">
      <c r="A933977" s="97" t="s">
        <v>183</v>
      </c>
    </row>
    <row r="950273" spans="1:1" x14ac:dyDescent="0.2">
      <c r="A950273" s="97" t="s">
        <v>95</v>
      </c>
    </row>
    <row r="950274" spans="1:1" x14ac:dyDescent="0.2">
      <c r="A950274" s="97" t="s">
        <v>96</v>
      </c>
    </row>
    <row r="950275" spans="1:1" x14ac:dyDescent="0.2">
      <c r="A950275" s="97" t="s">
        <v>97</v>
      </c>
    </row>
    <row r="950276" spans="1:1" x14ac:dyDescent="0.2">
      <c r="A950276" s="97" t="s">
        <v>98</v>
      </c>
    </row>
    <row r="950277" spans="1:1" x14ac:dyDescent="0.2">
      <c r="A950277" s="97" t="s">
        <v>99</v>
      </c>
    </row>
    <row r="950278" spans="1:1" x14ac:dyDescent="0.2">
      <c r="A950278" s="97" t="s">
        <v>100</v>
      </c>
    </row>
    <row r="950279" spans="1:1" x14ac:dyDescent="0.2">
      <c r="A950279" s="97" t="s">
        <v>101</v>
      </c>
    </row>
    <row r="950280" spans="1:1" x14ac:dyDescent="0.2">
      <c r="A950280" s="97" t="s">
        <v>102</v>
      </c>
    </row>
    <row r="950281" spans="1:1" x14ac:dyDescent="0.2">
      <c r="A950281" s="97" t="s">
        <v>103</v>
      </c>
    </row>
    <row r="950282" spans="1:1" x14ac:dyDescent="0.2">
      <c r="A950282" s="97" t="s">
        <v>104</v>
      </c>
    </row>
    <row r="950283" spans="1:1" x14ac:dyDescent="0.2">
      <c r="A950283" s="97" t="s">
        <v>105</v>
      </c>
    </row>
    <row r="950284" spans="1:1" x14ac:dyDescent="0.2">
      <c r="A950284" s="97" t="s">
        <v>106</v>
      </c>
    </row>
    <row r="950285" spans="1:1" x14ac:dyDescent="0.2">
      <c r="A950285" s="97" t="s">
        <v>107</v>
      </c>
    </row>
    <row r="950286" spans="1:1" x14ac:dyDescent="0.2">
      <c r="A950286" s="97" t="s">
        <v>108</v>
      </c>
    </row>
    <row r="950287" spans="1:1" x14ac:dyDescent="0.2">
      <c r="A950287" s="97" t="s">
        <v>109</v>
      </c>
    </row>
    <row r="950288" spans="1:1" x14ac:dyDescent="0.2">
      <c r="A950288" s="97" t="s">
        <v>110</v>
      </c>
    </row>
    <row r="950289" spans="1:1" x14ac:dyDescent="0.2">
      <c r="A950289" s="97" t="s">
        <v>111</v>
      </c>
    </row>
    <row r="950290" spans="1:1" x14ac:dyDescent="0.2">
      <c r="A950290" s="97" t="s">
        <v>112</v>
      </c>
    </row>
    <row r="950291" spans="1:1" x14ac:dyDescent="0.2">
      <c r="A950291" s="97" t="s">
        <v>113</v>
      </c>
    </row>
    <row r="950292" spans="1:1" x14ac:dyDescent="0.2">
      <c r="A950292" s="97" t="s">
        <v>114</v>
      </c>
    </row>
    <row r="950293" spans="1:1" x14ac:dyDescent="0.2">
      <c r="A950293" s="97" t="s">
        <v>115</v>
      </c>
    </row>
    <row r="950294" spans="1:1" x14ac:dyDescent="0.2">
      <c r="A950294" s="97" t="s">
        <v>116</v>
      </c>
    </row>
    <row r="950295" spans="1:1" x14ac:dyDescent="0.2">
      <c r="A950295" s="97" t="s">
        <v>117</v>
      </c>
    </row>
    <row r="950296" spans="1:1" x14ac:dyDescent="0.2">
      <c r="A950296" s="97" t="s">
        <v>118</v>
      </c>
    </row>
    <row r="950297" spans="1:1" x14ac:dyDescent="0.2">
      <c r="A950297" s="97" t="s">
        <v>119</v>
      </c>
    </row>
    <row r="950298" spans="1:1" x14ac:dyDescent="0.2">
      <c r="A950298" s="97" t="s">
        <v>120</v>
      </c>
    </row>
    <row r="950299" spans="1:1" x14ac:dyDescent="0.2">
      <c r="A950299" s="97" t="s">
        <v>121</v>
      </c>
    </row>
    <row r="950300" spans="1:1" x14ac:dyDescent="0.2">
      <c r="A950300" s="97" t="s">
        <v>122</v>
      </c>
    </row>
    <row r="950301" spans="1:1" x14ac:dyDescent="0.2">
      <c r="A950301" s="97" t="s">
        <v>123</v>
      </c>
    </row>
    <row r="950302" spans="1:1" x14ac:dyDescent="0.2">
      <c r="A950302" s="97" t="s">
        <v>124</v>
      </c>
    </row>
    <row r="950303" spans="1:1" x14ac:dyDescent="0.2">
      <c r="A950303" s="97" t="s">
        <v>125</v>
      </c>
    </row>
    <row r="950304" spans="1:1" x14ac:dyDescent="0.2">
      <c r="A950304" s="97" t="s">
        <v>126</v>
      </c>
    </row>
    <row r="950305" spans="1:1" x14ac:dyDescent="0.2">
      <c r="A950305" s="97" t="s">
        <v>127</v>
      </c>
    </row>
    <row r="950306" spans="1:1" x14ac:dyDescent="0.2">
      <c r="A950306" s="97" t="s">
        <v>128</v>
      </c>
    </row>
    <row r="950307" spans="1:1" x14ac:dyDescent="0.2">
      <c r="A950307" s="97" t="s">
        <v>129</v>
      </c>
    </row>
    <row r="950308" spans="1:1" x14ac:dyDescent="0.2">
      <c r="A950308" s="97" t="s">
        <v>130</v>
      </c>
    </row>
    <row r="950309" spans="1:1" x14ac:dyDescent="0.2">
      <c r="A950309" s="97" t="s">
        <v>131</v>
      </c>
    </row>
    <row r="950310" spans="1:1" x14ac:dyDescent="0.2">
      <c r="A950310" s="97" t="s">
        <v>132</v>
      </c>
    </row>
    <row r="950311" spans="1:1" x14ac:dyDescent="0.2">
      <c r="A950311" s="97" t="s">
        <v>133</v>
      </c>
    </row>
    <row r="950312" spans="1:1" x14ac:dyDescent="0.2">
      <c r="A950312" s="97" t="s">
        <v>134</v>
      </c>
    </row>
    <row r="950313" spans="1:1" x14ac:dyDescent="0.2">
      <c r="A950313" s="97" t="s">
        <v>135</v>
      </c>
    </row>
    <row r="950314" spans="1:1" x14ac:dyDescent="0.2">
      <c r="A950314" s="97" t="s">
        <v>136</v>
      </c>
    </row>
    <row r="950315" spans="1:1" x14ac:dyDescent="0.2">
      <c r="A950315" s="97" t="s">
        <v>137</v>
      </c>
    </row>
    <row r="950316" spans="1:1" x14ac:dyDescent="0.2">
      <c r="A950316" s="97" t="s">
        <v>138</v>
      </c>
    </row>
    <row r="950317" spans="1:1" x14ac:dyDescent="0.2">
      <c r="A950317" s="97" t="s">
        <v>139</v>
      </c>
    </row>
    <row r="950318" spans="1:1" x14ac:dyDescent="0.2">
      <c r="A950318" s="97" t="s">
        <v>140</v>
      </c>
    </row>
    <row r="950319" spans="1:1" x14ac:dyDescent="0.2">
      <c r="A950319" s="97" t="s">
        <v>141</v>
      </c>
    </row>
    <row r="950320" spans="1:1" x14ac:dyDescent="0.2">
      <c r="A950320" s="97" t="s">
        <v>142</v>
      </c>
    </row>
    <row r="950321" spans="1:1" x14ac:dyDescent="0.2">
      <c r="A950321" s="97" t="s">
        <v>143</v>
      </c>
    </row>
    <row r="950322" spans="1:1" x14ac:dyDescent="0.2">
      <c r="A950322" s="97" t="s">
        <v>144</v>
      </c>
    </row>
    <row r="950323" spans="1:1" x14ac:dyDescent="0.2">
      <c r="A950323" s="97" t="s">
        <v>145</v>
      </c>
    </row>
    <row r="950324" spans="1:1" x14ac:dyDescent="0.2">
      <c r="A950324" s="97" t="s">
        <v>146</v>
      </c>
    </row>
    <row r="950325" spans="1:1" x14ac:dyDescent="0.2">
      <c r="A950325" s="97" t="s">
        <v>147</v>
      </c>
    </row>
    <row r="950326" spans="1:1" x14ac:dyDescent="0.2">
      <c r="A950326" s="97" t="s">
        <v>148</v>
      </c>
    </row>
    <row r="950327" spans="1:1" x14ac:dyDescent="0.2">
      <c r="A950327" s="97" t="s">
        <v>149</v>
      </c>
    </row>
    <row r="950328" spans="1:1" x14ac:dyDescent="0.2">
      <c r="A950328" s="97" t="s">
        <v>150</v>
      </c>
    </row>
    <row r="950329" spans="1:1" x14ac:dyDescent="0.2">
      <c r="A950329" s="97" t="s">
        <v>151</v>
      </c>
    </row>
    <row r="950330" spans="1:1" x14ac:dyDescent="0.2">
      <c r="A950330" s="97" t="s">
        <v>152</v>
      </c>
    </row>
    <row r="950331" spans="1:1" x14ac:dyDescent="0.2">
      <c r="A950331" s="97" t="s">
        <v>153</v>
      </c>
    </row>
    <row r="950332" spans="1:1" x14ac:dyDescent="0.2">
      <c r="A950332" s="97" t="s">
        <v>154</v>
      </c>
    </row>
    <row r="950333" spans="1:1" x14ac:dyDescent="0.2">
      <c r="A950333" s="97" t="s">
        <v>155</v>
      </c>
    </row>
    <row r="950334" spans="1:1" x14ac:dyDescent="0.2">
      <c r="A950334" s="97" t="s">
        <v>156</v>
      </c>
    </row>
    <row r="950335" spans="1:1" x14ac:dyDescent="0.2">
      <c r="A950335" s="97" t="s">
        <v>157</v>
      </c>
    </row>
    <row r="950336" spans="1:1" x14ac:dyDescent="0.2">
      <c r="A950336" s="97" t="s">
        <v>158</v>
      </c>
    </row>
    <row r="950337" spans="1:1" x14ac:dyDescent="0.2">
      <c r="A950337" s="97" t="s">
        <v>159</v>
      </c>
    </row>
    <row r="950338" spans="1:1" x14ac:dyDescent="0.2">
      <c r="A950338" s="97" t="s">
        <v>160</v>
      </c>
    </row>
    <row r="950339" spans="1:1" x14ac:dyDescent="0.2">
      <c r="A950339" s="97" t="s">
        <v>161</v>
      </c>
    </row>
    <row r="950340" spans="1:1" x14ac:dyDescent="0.2">
      <c r="A950340" s="97" t="s">
        <v>162</v>
      </c>
    </row>
    <row r="950341" spans="1:1" x14ac:dyDescent="0.2">
      <c r="A950341" s="97" t="s">
        <v>163</v>
      </c>
    </row>
    <row r="950342" spans="1:1" x14ac:dyDescent="0.2">
      <c r="A950342" s="97" t="s">
        <v>164</v>
      </c>
    </row>
    <row r="950343" spans="1:1" x14ac:dyDescent="0.2">
      <c r="A950343" s="97" t="s">
        <v>165</v>
      </c>
    </row>
    <row r="950344" spans="1:1" x14ac:dyDescent="0.2">
      <c r="A950344" s="97" t="s">
        <v>166</v>
      </c>
    </row>
    <row r="950345" spans="1:1" x14ac:dyDescent="0.2">
      <c r="A950345" s="97" t="s">
        <v>167</v>
      </c>
    </row>
    <row r="950346" spans="1:1" x14ac:dyDescent="0.2">
      <c r="A950346" s="97" t="s">
        <v>168</v>
      </c>
    </row>
    <row r="950347" spans="1:1" x14ac:dyDescent="0.2">
      <c r="A950347" s="97" t="s">
        <v>169</v>
      </c>
    </row>
    <row r="950348" spans="1:1" x14ac:dyDescent="0.2">
      <c r="A950348" s="97" t="s">
        <v>170</v>
      </c>
    </row>
    <row r="950349" spans="1:1" x14ac:dyDescent="0.2">
      <c r="A950349" s="97" t="s">
        <v>171</v>
      </c>
    </row>
    <row r="950350" spans="1:1" x14ac:dyDescent="0.2">
      <c r="A950350" s="97" t="s">
        <v>172</v>
      </c>
    </row>
    <row r="950351" spans="1:1" x14ac:dyDescent="0.2">
      <c r="A950351" s="97" t="s">
        <v>173</v>
      </c>
    </row>
    <row r="950352" spans="1:1" x14ac:dyDescent="0.2">
      <c r="A950352" s="97" t="s">
        <v>174</v>
      </c>
    </row>
    <row r="950353" spans="1:1" x14ac:dyDescent="0.2">
      <c r="A950353" s="97" t="s">
        <v>175</v>
      </c>
    </row>
    <row r="950354" spans="1:1" x14ac:dyDescent="0.2">
      <c r="A950354" s="97" t="s">
        <v>176</v>
      </c>
    </row>
    <row r="950355" spans="1:1" x14ac:dyDescent="0.2">
      <c r="A950355" s="97" t="s">
        <v>177</v>
      </c>
    </row>
    <row r="950356" spans="1:1" x14ac:dyDescent="0.2">
      <c r="A950356" s="97" t="s">
        <v>178</v>
      </c>
    </row>
    <row r="950357" spans="1:1" x14ac:dyDescent="0.2">
      <c r="A950357" s="97" t="s">
        <v>179</v>
      </c>
    </row>
    <row r="950358" spans="1:1" x14ac:dyDescent="0.2">
      <c r="A950358" s="97" t="s">
        <v>180</v>
      </c>
    </row>
    <row r="950359" spans="1:1" x14ac:dyDescent="0.2">
      <c r="A950359" s="97" t="s">
        <v>181</v>
      </c>
    </row>
    <row r="950360" spans="1:1" x14ac:dyDescent="0.2">
      <c r="A950360" s="97" t="s">
        <v>182</v>
      </c>
    </row>
    <row r="950361" spans="1:1" x14ac:dyDescent="0.2">
      <c r="A950361" s="97" t="s">
        <v>183</v>
      </c>
    </row>
    <row r="966657" spans="1:1" x14ac:dyDescent="0.2">
      <c r="A966657" s="97" t="s">
        <v>95</v>
      </c>
    </row>
    <row r="966658" spans="1:1" x14ac:dyDescent="0.2">
      <c r="A966658" s="97" t="s">
        <v>96</v>
      </c>
    </row>
    <row r="966659" spans="1:1" x14ac:dyDescent="0.2">
      <c r="A966659" s="97" t="s">
        <v>97</v>
      </c>
    </row>
    <row r="966660" spans="1:1" x14ac:dyDescent="0.2">
      <c r="A966660" s="97" t="s">
        <v>98</v>
      </c>
    </row>
    <row r="966661" spans="1:1" x14ac:dyDescent="0.2">
      <c r="A966661" s="97" t="s">
        <v>99</v>
      </c>
    </row>
    <row r="966662" spans="1:1" x14ac:dyDescent="0.2">
      <c r="A966662" s="97" t="s">
        <v>100</v>
      </c>
    </row>
    <row r="966663" spans="1:1" x14ac:dyDescent="0.2">
      <c r="A966663" s="97" t="s">
        <v>101</v>
      </c>
    </row>
    <row r="966664" spans="1:1" x14ac:dyDescent="0.2">
      <c r="A966664" s="97" t="s">
        <v>102</v>
      </c>
    </row>
    <row r="966665" spans="1:1" x14ac:dyDescent="0.2">
      <c r="A966665" s="97" t="s">
        <v>103</v>
      </c>
    </row>
    <row r="966666" spans="1:1" x14ac:dyDescent="0.2">
      <c r="A966666" s="97" t="s">
        <v>104</v>
      </c>
    </row>
    <row r="966667" spans="1:1" x14ac:dyDescent="0.2">
      <c r="A966667" s="97" t="s">
        <v>105</v>
      </c>
    </row>
    <row r="966668" spans="1:1" x14ac:dyDescent="0.2">
      <c r="A966668" s="97" t="s">
        <v>106</v>
      </c>
    </row>
    <row r="966669" spans="1:1" x14ac:dyDescent="0.2">
      <c r="A966669" s="97" t="s">
        <v>107</v>
      </c>
    </row>
    <row r="966670" spans="1:1" x14ac:dyDescent="0.2">
      <c r="A966670" s="97" t="s">
        <v>108</v>
      </c>
    </row>
    <row r="966671" spans="1:1" x14ac:dyDescent="0.2">
      <c r="A966671" s="97" t="s">
        <v>109</v>
      </c>
    </row>
    <row r="966672" spans="1:1" x14ac:dyDescent="0.2">
      <c r="A966672" s="97" t="s">
        <v>110</v>
      </c>
    </row>
    <row r="966673" spans="1:1" x14ac:dyDescent="0.2">
      <c r="A966673" s="97" t="s">
        <v>111</v>
      </c>
    </row>
    <row r="966674" spans="1:1" x14ac:dyDescent="0.2">
      <c r="A966674" s="97" t="s">
        <v>112</v>
      </c>
    </row>
    <row r="966675" spans="1:1" x14ac:dyDescent="0.2">
      <c r="A966675" s="97" t="s">
        <v>113</v>
      </c>
    </row>
    <row r="966676" spans="1:1" x14ac:dyDescent="0.2">
      <c r="A966676" s="97" t="s">
        <v>114</v>
      </c>
    </row>
    <row r="966677" spans="1:1" x14ac:dyDescent="0.2">
      <c r="A966677" s="97" t="s">
        <v>115</v>
      </c>
    </row>
    <row r="966678" spans="1:1" x14ac:dyDescent="0.2">
      <c r="A966678" s="97" t="s">
        <v>116</v>
      </c>
    </row>
    <row r="966679" spans="1:1" x14ac:dyDescent="0.2">
      <c r="A966679" s="97" t="s">
        <v>117</v>
      </c>
    </row>
    <row r="966680" spans="1:1" x14ac:dyDescent="0.2">
      <c r="A966680" s="97" t="s">
        <v>118</v>
      </c>
    </row>
    <row r="966681" spans="1:1" x14ac:dyDescent="0.2">
      <c r="A966681" s="97" t="s">
        <v>119</v>
      </c>
    </row>
    <row r="966682" spans="1:1" x14ac:dyDescent="0.2">
      <c r="A966682" s="97" t="s">
        <v>120</v>
      </c>
    </row>
    <row r="966683" spans="1:1" x14ac:dyDescent="0.2">
      <c r="A966683" s="97" t="s">
        <v>121</v>
      </c>
    </row>
    <row r="966684" spans="1:1" x14ac:dyDescent="0.2">
      <c r="A966684" s="97" t="s">
        <v>122</v>
      </c>
    </row>
    <row r="966685" spans="1:1" x14ac:dyDescent="0.2">
      <c r="A966685" s="97" t="s">
        <v>123</v>
      </c>
    </row>
    <row r="966686" spans="1:1" x14ac:dyDescent="0.2">
      <c r="A966686" s="97" t="s">
        <v>124</v>
      </c>
    </row>
    <row r="966687" spans="1:1" x14ac:dyDescent="0.2">
      <c r="A966687" s="97" t="s">
        <v>125</v>
      </c>
    </row>
    <row r="966688" spans="1:1" x14ac:dyDescent="0.2">
      <c r="A966688" s="97" t="s">
        <v>126</v>
      </c>
    </row>
    <row r="966689" spans="1:1" x14ac:dyDescent="0.2">
      <c r="A966689" s="97" t="s">
        <v>127</v>
      </c>
    </row>
    <row r="966690" spans="1:1" x14ac:dyDescent="0.2">
      <c r="A966690" s="97" t="s">
        <v>128</v>
      </c>
    </row>
    <row r="966691" spans="1:1" x14ac:dyDescent="0.2">
      <c r="A966691" s="97" t="s">
        <v>129</v>
      </c>
    </row>
    <row r="966692" spans="1:1" x14ac:dyDescent="0.2">
      <c r="A966692" s="97" t="s">
        <v>130</v>
      </c>
    </row>
    <row r="966693" spans="1:1" x14ac:dyDescent="0.2">
      <c r="A966693" s="97" t="s">
        <v>131</v>
      </c>
    </row>
    <row r="966694" spans="1:1" x14ac:dyDescent="0.2">
      <c r="A966694" s="97" t="s">
        <v>132</v>
      </c>
    </row>
    <row r="966695" spans="1:1" x14ac:dyDescent="0.2">
      <c r="A966695" s="97" t="s">
        <v>133</v>
      </c>
    </row>
    <row r="966696" spans="1:1" x14ac:dyDescent="0.2">
      <c r="A966696" s="97" t="s">
        <v>134</v>
      </c>
    </row>
    <row r="966697" spans="1:1" x14ac:dyDescent="0.2">
      <c r="A966697" s="97" t="s">
        <v>135</v>
      </c>
    </row>
    <row r="966698" spans="1:1" x14ac:dyDescent="0.2">
      <c r="A966698" s="97" t="s">
        <v>136</v>
      </c>
    </row>
    <row r="966699" spans="1:1" x14ac:dyDescent="0.2">
      <c r="A966699" s="97" t="s">
        <v>137</v>
      </c>
    </row>
    <row r="966700" spans="1:1" x14ac:dyDescent="0.2">
      <c r="A966700" s="97" t="s">
        <v>138</v>
      </c>
    </row>
    <row r="966701" spans="1:1" x14ac:dyDescent="0.2">
      <c r="A966701" s="97" t="s">
        <v>139</v>
      </c>
    </row>
    <row r="966702" spans="1:1" x14ac:dyDescent="0.2">
      <c r="A966702" s="97" t="s">
        <v>140</v>
      </c>
    </row>
    <row r="966703" spans="1:1" x14ac:dyDescent="0.2">
      <c r="A966703" s="97" t="s">
        <v>141</v>
      </c>
    </row>
    <row r="966704" spans="1:1" x14ac:dyDescent="0.2">
      <c r="A966704" s="97" t="s">
        <v>142</v>
      </c>
    </row>
    <row r="966705" spans="1:1" x14ac:dyDescent="0.2">
      <c r="A966705" s="97" t="s">
        <v>143</v>
      </c>
    </row>
    <row r="966706" spans="1:1" x14ac:dyDescent="0.2">
      <c r="A966706" s="97" t="s">
        <v>144</v>
      </c>
    </row>
    <row r="966707" spans="1:1" x14ac:dyDescent="0.2">
      <c r="A966707" s="97" t="s">
        <v>145</v>
      </c>
    </row>
    <row r="966708" spans="1:1" x14ac:dyDescent="0.2">
      <c r="A966708" s="97" t="s">
        <v>146</v>
      </c>
    </row>
    <row r="966709" spans="1:1" x14ac:dyDescent="0.2">
      <c r="A966709" s="97" t="s">
        <v>147</v>
      </c>
    </row>
    <row r="966710" spans="1:1" x14ac:dyDescent="0.2">
      <c r="A966710" s="97" t="s">
        <v>148</v>
      </c>
    </row>
    <row r="966711" spans="1:1" x14ac:dyDescent="0.2">
      <c r="A966711" s="97" t="s">
        <v>149</v>
      </c>
    </row>
    <row r="966712" spans="1:1" x14ac:dyDescent="0.2">
      <c r="A966712" s="97" t="s">
        <v>150</v>
      </c>
    </row>
    <row r="966713" spans="1:1" x14ac:dyDescent="0.2">
      <c r="A966713" s="97" t="s">
        <v>151</v>
      </c>
    </row>
    <row r="966714" spans="1:1" x14ac:dyDescent="0.2">
      <c r="A966714" s="97" t="s">
        <v>152</v>
      </c>
    </row>
    <row r="966715" spans="1:1" x14ac:dyDescent="0.2">
      <c r="A966715" s="97" t="s">
        <v>153</v>
      </c>
    </row>
    <row r="966716" spans="1:1" x14ac:dyDescent="0.2">
      <c r="A966716" s="97" t="s">
        <v>154</v>
      </c>
    </row>
    <row r="966717" spans="1:1" x14ac:dyDescent="0.2">
      <c r="A966717" s="97" t="s">
        <v>155</v>
      </c>
    </row>
    <row r="966718" spans="1:1" x14ac:dyDescent="0.2">
      <c r="A966718" s="97" t="s">
        <v>156</v>
      </c>
    </row>
    <row r="966719" spans="1:1" x14ac:dyDescent="0.2">
      <c r="A966719" s="97" t="s">
        <v>157</v>
      </c>
    </row>
    <row r="966720" spans="1:1" x14ac:dyDescent="0.2">
      <c r="A966720" s="97" t="s">
        <v>158</v>
      </c>
    </row>
    <row r="966721" spans="1:1" x14ac:dyDescent="0.2">
      <c r="A966721" s="97" t="s">
        <v>159</v>
      </c>
    </row>
    <row r="966722" spans="1:1" x14ac:dyDescent="0.2">
      <c r="A966722" s="97" t="s">
        <v>160</v>
      </c>
    </row>
    <row r="966723" spans="1:1" x14ac:dyDescent="0.2">
      <c r="A966723" s="97" t="s">
        <v>161</v>
      </c>
    </row>
    <row r="966724" spans="1:1" x14ac:dyDescent="0.2">
      <c r="A966724" s="97" t="s">
        <v>162</v>
      </c>
    </row>
    <row r="966725" spans="1:1" x14ac:dyDescent="0.2">
      <c r="A966725" s="97" t="s">
        <v>163</v>
      </c>
    </row>
    <row r="966726" spans="1:1" x14ac:dyDescent="0.2">
      <c r="A966726" s="97" t="s">
        <v>164</v>
      </c>
    </row>
    <row r="966727" spans="1:1" x14ac:dyDescent="0.2">
      <c r="A966727" s="97" t="s">
        <v>165</v>
      </c>
    </row>
    <row r="966728" spans="1:1" x14ac:dyDescent="0.2">
      <c r="A966728" s="97" t="s">
        <v>166</v>
      </c>
    </row>
    <row r="966729" spans="1:1" x14ac:dyDescent="0.2">
      <c r="A966729" s="97" t="s">
        <v>167</v>
      </c>
    </row>
    <row r="966730" spans="1:1" x14ac:dyDescent="0.2">
      <c r="A966730" s="97" t="s">
        <v>168</v>
      </c>
    </row>
    <row r="966731" spans="1:1" x14ac:dyDescent="0.2">
      <c r="A966731" s="97" t="s">
        <v>169</v>
      </c>
    </row>
    <row r="966732" spans="1:1" x14ac:dyDescent="0.2">
      <c r="A966732" s="97" t="s">
        <v>170</v>
      </c>
    </row>
    <row r="966733" spans="1:1" x14ac:dyDescent="0.2">
      <c r="A966733" s="97" t="s">
        <v>171</v>
      </c>
    </row>
    <row r="966734" spans="1:1" x14ac:dyDescent="0.2">
      <c r="A966734" s="97" t="s">
        <v>172</v>
      </c>
    </row>
    <row r="966735" spans="1:1" x14ac:dyDescent="0.2">
      <c r="A966735" s="97" t="s">
        <v>173</v>
      </c>
    </row>
    <row r="966736" spans="1:1" x14ac:dyDescent="0.2">
      <c r="A966736" s="97" t="s">
        <v>174</v>
      </c>
    </row>
    <row r="966737" spans="1:1" x14ac:dyDescent="0.2">
      <c r="A966737" s="97" t="s">
        <v>175</v>
      </c>
    </row>
    <row r="966738" spans="1:1" x14ac:dyDescent="0.2">
      <c r="A966738" s="97" t="s">
        <v>176</v>
      </c>
    </row>
    <row r="966739" spans="1:1" x14ac:dyDescent="0.2">
      <c r="A966739" s="97" t="s">
        <v>177</v>
      </c>
    </row>
    <row r="966740" spans="1:1" x14ac:dyDescent="0.2">
      <c r="A966740" s="97" t="s">
        <v>178</v>
      </c>
    </row>
    <row r="966741" spans="1:1" x14ac:dyDescent="0.2">
      <c r="A966741" s="97" t="s">
        <v>179</v>
      </c>
    </row>
    <row r="966742" spans="1:1" x14ac:dyDescent="0.2">
      <c r="A966742" s="97" t="s">
        <v>180</v>
      </c>
    </row>
    <row r="966743" spans="1:1" x14ac:dyDescent="0.2">
      <c r="A966743" s="97" t="s">
        <v>181</v>
      </c>
    </row>
    <row r="966744" spans="1:1" x14ac:dyDescent="0.2">
      <c r="A966744" s="97" t="s">
        <v>182</v>
      </c>
    </row>
    <row r="966745" spans="1:1" x14ac:dyDescent="0.2">
      <c r="A966745" s="97" t="s">
        <v>183</v>
      </c>
    </row>
    <row r="983041" spans="1:1" x14ac:dyDescent="0.2">
      <c r="A983041" s="97" t="s">
        <v>95</v>
      </c>
    </row>
    <row r="983042" spans="1:1" x14ac:dyDescent="0.2">
      <c r="A983042" s="97" t="s">
        <v>96</v>
      </c>
    </row>
    <row r="983043" spans="1:1" x14ac:dyDescent="0.2">
      <c r="A983043" s="97" t="s">
        <v>97</v>
      </c>
    </row>
    <row r="983044" spans="1:1" x14ac:dyDescent="0.2">
      <c r="A983044" s="97" t="s">
        <v>98</v>
      </c>
    </row>
    <row r="983045" spans="1:1" x14ac:dyDescent="0.2">
      <c r="A983045" s="97" t="s">
        <v>99</v>
      </c>
    </row>
    <row r="983046" spans="1:1" x14ac:dyDescent="0.2">
      <c r="A983046" s="97" t="s">
        <v>100</v>
      </c>
    </row>
    <row r="983047" spans="1:1" x14ac:dyDescent="0.2">
      <c r="A983047" s="97" t="s">
        <v>101</v>
      </c>
    </row>
    <row r="983048" spans="1:1" x14ac:dyDescent="0.2">
      <c r="A983048" s="97" t="s">
        <v>102</v>
      </c>
    </row>
    <row r="983049" spans="1:1" x14ac:dyDescent="0.2">
      <c r="A983049" s="97" t="s">
        <v>103</v>
      </c>
    </row>
    <row r="983050" spans="1:1" x14ac:dyDescent="0.2">
      <c r="A983050" s="97" t="s">
        <v>104</v>
      </c>
    </row>
    <row r="983051" spans="1:1" x14ac:dyDescent="0.2">
      <c r="A983051" s="97" t="s">
        <v>105</v>
      </c>
    </row>
    <row r="983052" spans="1:1" x14ac:dyDescent="0.2">
      <c r="A983052" s="97" t="s">
        <v>106</v>
      </c>
    </row>
    <row r="983053" spans="1:1" x14ac:dyDescent="0.2">
      <c r="A983053" s="97" t="s">
        <v>107</v>
      </c>
    </row>
    <row r="983054" spans="1:1" x14ac:dyDescent="0.2">
      <c r="A983054" s="97" t="s">
        <v>108</v>
      </c>
    </row>
    <row r="983055" spans="1:1" x14ac:dyDescent="0.2">
      <c r="A983055" s="97" t="s">
        <v>109</v>
      </c>
    </row>
    <row r="983056" spans="1:1" x14ac:dyDescent="0.2">
      <c r="A983056" s="97" t="s">
        <v>110</v>
      </c>
    </row>
    <row r="983057" spans="1:1" x14ac:dyDescent="0.2">
      <c r="A983057" s="97" t="s">
        <v>111</v>
      </c>
    </row>
    <row r="983058" spans="1:1" x14ac:dyDescent="0.2">
      <c r="A983058" s="97" t="s">
        <v>112</v>
      </c>
    </row>
    <row r="983059" spans="1:1" x14ac:dyDescent="0.2">
      <c r="A983059" s="97" t="s">
        <v>113</v>
      </c>
    </row>
    <row r="983060" spans="1:1" x14ac:dyDescent="0.2">
      <c r="A983060" s="97" t="s">
        <v>114</v>
      </c>
    </row>
    <row r="983061" spans="1:1" x14ac:dyDescent="0.2">
      <c r="A983061" s="97" t="s">
        <v>115</v>
      </c>
    </row>
    <row r="983062" spans="1:1" x14ac:dyDescent="0.2">
      <c r="A983062" s="97" t="s">
        <v>116</v>
      </c>
    </row>
    <row r="983063" spans="1:1" x14ac:dyDescent="0.2">
      <c r="A983063" s="97" t="s">
        <v>117</v>
      </c>
    </row>
    <row r="983064" spans="1:1" x14ac:dyDescent="0.2">
      <c r="A983064" s="97" t="s">
        <v>118</v>
      </c>
    </row>
    <row r="983065" spans="1:1" x14ac:dyDescent="0.2">
      <c r="A983065" s="97" t="s">
        <v>119</v>
      </c>
    </row>
    <row r="983066" spans="1:1" x14ac:dyDescent="0.2">
      <c r="A983066" s="97" t="s">
        <v>120</v>
      </c>
    </row>
    <row r="983067" spans="1:1" x14ac:dyDescent="0.2">
      <c r="A983067" s="97" t="s">
        <v>121</v>
      </c>
    </row>
    <row r="983068" spans="1:1" x14ac:dyDescent="0.2">
      <c r="A983068" s="97" t="s">
        <v>122</v>
      </c>
    </row>
    <row r="983069" spans="1:1" x14ac:dyDescent="0.2">
      <c r="A983069" s="97" t="s">
        <v>123</v>
      </c>
    </row>
    <row r="983070" spans="1:1" x14ac:dyDescent="0.2">
      <c r="A983070" s="97" t="s">
        <v>124</v>
      </c>
    </row>
    <row r="983071" spans="1:1" x14ac:dyDescent="0.2">
      <c r="A983071" s="97" t="s">
        <v>125</v>
      </c>
    </row>
    <row r="983072" spans="1:1" x14ac:dyDescent="0.2">
      <c r="A983072" s="97" t="s">
        <v>126</v>
      </c>
    </row>
    <row r="983073" spans="1:1" x14ac:dyDescent="0.2">
      <c r="A983073" s="97" t="s">
        <v>127</v>
      </c>
    </row>
    <row r="983074" spans="1:1" x14ac:dyDescent="0.2">
      <c r="A983074" s="97" t="s">
        <v>128</v>
      </c>
    </row>
    <row r="983075" spans="1:1" x14ac:dyDescent="0.2">
      <c r="A983075" s="97" t="s">
        <v>129</v>
      </c>
    </row>
    <row r="983076" spans="1:1" x14ac:dyDescent="0.2">
      <c r="A983076" s="97" t="s">
        <v>130</v>
      </c>
    </row>
    <row r="983077" spans="1:1" x14ac:dyDescent="0.2">
      <c r="A983077" s="97" t="s">
        <v>131</v>
      </c>
    </row>
    <row r="983078" spans="1:1" x14ac:dyDescent="0.2">
      <c r="A983078" s="97" t="s">
        <v>132</v>
      </c>
    </row>
    <row r="983079" spans="1:1" x14ac:dyDescent="0.2">
      <c r="A983079" s="97" t="s">
        <v>133</v>
      </c>
    </row>
    <row r="983080" spans="1:1" x14ac:dyDescent="0.2">
      <c r="A983080" s="97" t="s">
        <v>134</v>
      </c>
    </row>
    <row r="983081" spans="1:1" x14ac:dyDescent="0.2">
      <c r="A983081" s="97" t="s">
        <v>135</v>
      </c>
    </row>
    <row r="983082" spans="1:1" x14ac:dyDescent="0.2">
      <c r="A983082" s="97" t="s">
        <v>136</v>
      </c>
    </row>
    <row r="983083" spans="1:1" x14ac:dyDescent="0.2">
      <c r="A983083" s="97" t="s">
        <v>137</v>
      </c>
    </row>
    <row r="983084" spans="1:1" x14ac:dyDescent="0.2">
      <c r="A983084" s="97" t="s">
        <v>138</v>
      </c>
    </row>
    <row r="983085" spans="1:1" x14ac:dyDescent="0.2">
      <c r="A983085" s="97" t="s">
        <v>139</v>
      </c>
    </row>
    <row r="983086" spans="1:1" x14ac:dyDescent="0.2">
      <c r="A983086" s="97" t="s">
        <v>140</v>
      </c>
    </row>
    <row r="983087" spans="1:1" x14ac:dyDescent="0.2">
      <c r="A983087" s="97" t="s">
        <v>141</v>
      </c>
    </row>
    <row r="983088" spans="1:1" x14ac:dyDescent="0.2">
      <c r="A983088" s="97" t="s">
        <v>142</v>
      </c>
    </row>
    <row r="983089" spans="1:1" x14ac:dyDescent="0.2">
      <c r="A983089" s="97" t="s">
        <v>143</v>
      </c>
    </row>
    <row r="983090" spans="1:1" x14ac:dyDescent="0.2">
      <c r="A983090" s="97" t="s">
        <v>144</v>
      </c>
    </row>
    <row r="983091" spans="1:1" x14ac:dyDescent="0.2">
      <c r="A983091" s="97" t="s">
        <v>145</v>
      </c>
    </row>
    <row r="983092" spans="1:1" x14ac:dyDescent="0.2">
      <c r="A983092" s="97" t="s">
        <v>146</v>
      </c>
    </row>
    <row r="983093" spans="1:1" x14ac:dyDescent="0.2">
      <c r="A983093" s="97" t="s">
        <v>147</v>
      </c>
    </row>
    <row r="983094" spans="1:1" x14ac:dyDescent="0.2">
      <c r="A983094" s="97" t="s">
        <v>148</v>
      </c>
    </row>
    <row r="983095" spans="1:1" x14ac:dyDescent="0.2">
      <c r="A983095" s="97" t="s">
        <v>149</v>
      </c>
    </row>
    <row r="983096" spans="1:1" x14ac:dyDescent="0.2">
      <c r="A983096" s="97" t="s">
        <v>150</v>
      </c>
    </row>
    <row r="983097" spans="1:1" x14ac:dyDescent="0.2">
      <c r="A983097" s="97" t="s">
        <v>151</v>
      </c>
    </row>
    <row r="983098" spans="1:1" x14ac:dyDescent="0.2">
      <c r="A983098" s="97" t="s">
        <v>152</v>
      </c>
    </row>
    <row r="983099" spans="1:1" x14ac:dyDescent="0.2">
      <c r="A983099" s="97" t="s">
        <v>153</v>
      </c>
    </row>
    <row r="983100" spans="1:1" x14ac:dyDescent="0.2">
      <c r="A983100" s="97" t="s">
        <v>154</v>
      </c>
    </row>
    <row r="983101" spans="1:1" x14ac:dyDescent="0.2">
      <c r="A983101" s="97" t="s">
        <v>155</v>
      </c>
    </row>
    <row r="983102" spans="1:1" x14ac:dyDescent="0.2">
      <c r="A983102" s="97" t="s">
        <v>156</v>
      </c>
    </row>
    <row r="983103" spans="1:1" x14ac:dyDescent="0.2">
      <c r="A983103" s="97" t="s">
        <v>157</v>
      </c>
    </row>
    <row r="983104" spans="1:1" x14ac:dyDescent="0.2">
      <c r="A983104" s="97" t="s">
        <v>158</v>
      </c>
    </row>
    <row r="983105" spans="1:1" x14ac:dyDescent="0.2">
      <c r="A983105" s="97" t="s">
        <v>159</v>
      </c>
    </row>
    <row r="983106" spans="1:1" x14ac:dyDescent="0.2">
      <c r="A983106" s="97" t="s">
        <v>160</v>
      </c>
    </row>
    <row r="983107" spans="1:1" x14ac:dyDescent="0.2">
      <c r="A983107" s="97" t="s">
        <v>161</v>
      </c>
    </row>
    <row r="983108" spans="1:1" x14ac:dyDescent="0.2">
      <c r="A983108" s="97" t="s">
        <v>162</v>
      </c>
    </row>
    <row r="983109" spans="1:1" x14ac:dyDescent="0.2">
      <c r="A983109" s="97" t="s">
        <v>163</v>
      </c>
    </row>
    <row r="983110" spans="1:1" x14ac:dyDescent="0.2">
      <c r="A983110" s="97" t="s">
        <v>164</v>
      </c>
    </row>
    <row r="983111" spans="1:1" x14ac:dyDescent="0.2">
      <c r="A983111" s="97" t="s">
        <v>165</v>
      </c>
    </row>
    <row r="983112" spans="1:1" x14ac:dyDescent="0.2">
      <c r="A983112" s="97" t="s">
        <v>166</v>
      </c>
    </row>
    <row r="983113" spans="1:1" x14ac:dyDescent="0.2">
      <c r="A983113" s="97" t="s">
        <v>167</v>
      </c>
    </row>
    <row r="983114" spans="1:1" x14ac:dyDescent="0.2">
      <c r="A983114" s="97" t="s">
        <v>168</v>
      </c>
    </row>
    <row r="983115" spans="1:1" x14ac:dyDescent="0.2">
      <c r="A983115" s="97" t="s">
        <v>169</v>
      </c>
    </row>
    <row r="983116" spans="1:1" x14ac:dyDescent="0.2">
      <c r="A983116" s="97" t="s">
        <v>170</v>
      </c>
    </row>
    <row r="983117" spans="1:1" x14ac:dyDescent="0.2">
      <c r="A983117" s="97" t="s">
        <v>171</v>
      </c>
    </row>
    <row r="983118" spans="1:1" x14ac:dyDescent="0.2">
      <c r="A983118" s="97" t="s">
        <v>172</v>
      </c>
    </row>
    <row r="983119" spans="1:1" x14ac:dyDescent="0.2">
      <c r="A983119" s="97" t="s">
        <v>173</v>
      </c>
    </row>
    <row r="983120" spans="1:1" x14ac:dyDescent="0.2">
      <c r="A983120" s="97" t="s">
        <v>174</v>
      </c>
    </row>
    <row r="983121" spans="1:1" x14ac:dyDescent="0.2">
      <c r="A983121" s="97" t="s">
        <v>175</v>
      </c>
    </row>
    <row r="983122" spans="1:1" x14ac:dyDescent="0.2">
      <c r="A983122" s="97" t="s">
        <v>176</v>
      </c>
    </row>
    <row r="983123" spans="1:1" x14ac:dyDescent="0.2">
      <c r="A983123" s="97" t="s">
        <v>177</v>
      </c>
    </row>
    <row r="983124" spans="1:1" x14ac:dyDescent="0.2">
      <c r="A983124" s="97" t="s">
        <v>178</v>
      </c>
    </row>
    <row r="983125" spans="1:1" x14ac:dyDescent="0.2">
      <c r="A983125" s="97" t="s">
        <v>179</v>
      </c>
    </row>
    <row r="983126" spans="1:1" x14ac:dyDescent="0.2">
      <c r="A983126" s="97" t="s">
        <v>180</v>
      </c>
    </row>
    <row r="983127" spans="1:1" x14ac:dyDescent="0.2">
      <c r="A983127" s="97" t="s">
        <v>181</v>
      </c>
    </row>
    <row r="983128" spans="1:1" x14ac:dyDescent="0.2">
      <c r="A983128" s="97" t="s">
        <v>182</v>
      </c>
    </row>
    <row r="983129" spans="1:1" x14ac:dyDescent="0.2">
      <c r="A983129" s="97" t="s">
        <v>183</v>
      </c>
    </row>
    <row r="999425" spans="1:1" x14ac:dyDescent="0.2">
      <c r="A999425" s="97" t="s">
        <v>95</v>
      </c>
    </row>
    <row r="999426" spans="1:1" x14ac:dyDescent="0.2">
      <c r="A999426" s="97" t="s">
        <v>96</v>
      </c>
    </row>
    <row r="999427" spans="1:1" x14ac:dyDescent="0.2">
      <c r="A999427" s="97" t="s">
        <v>97</v>
      </c>
    </row>
    <row r="999428" spans="1:1" x14ac:dyDescent="0.2">
      <c r="A999428" s="97" t="s">
        <v>98</v>
      </c>
    </row>
    <row r="999429" spans="1:1" x14ac:dyDescent="0.2">
      <c r="A999429" s="97" t="s">
        <v>99</v>
      </c>
    </row>
    <row r="999430" spans="1:1" x14ac:dyDescent="0.2">
      <c r="A999430" s="97" t="s">
        <v>100</v>
      </c>
    </row>
    <row r="999431" spans="1:1" x14ac:dyDescent="0.2">
      <c r="A999431" s="97" t="s">
        <v>101</v>
      </c>
    </row>
    <row r="999432" spans="1:1" x14ac:dyDescent="0.2">
      <c r="A999432" s="97" t="s">
        <v>102</v>
      </c>
    </row>
    <row r="999433" spans="1:1" x14ac:dyDescent="0.2">
      <c r="A999433" s="97" t="s">
        <v>103</v>
      </c>
    </row>
    <row r="999434" spans="1:1" x14ac:dyDescent="0.2">
      <c r="A999434" s="97" t="s">
        <v>104</v>
      </c>
    </row>
    <row r="999435" spans="1:1" x14ac:dyDescent="0.2">
      <c r="A999435" s="97" t="s">
        <v>105</v>
      </c>
    </row>
    <row r="999436" spans="1:1" x14ac:dyDescent="0.2">
      <c r="A999436" s="97" t="s">
        <v>106</v>
      </c>
    </row>
    <row r="999437" spans="1:1" x14ac:dyDescent="0.2">
      <c r="A999437" s="97" t="s">
        <v>107</v>
      </c>
    </row>
    <row r="999438" spans="1:1" x14ac:dyDescent="0.2">
      <c r="A999438" s="97" t="s">
        <v>108</v>
      </c>
    </row>
    <row r="999439" spans="1:1" x14ac:dyDescent="0.2">
      <c r="A999439" s="97" t="s">
        <v>109</v>
      </c>
    </row>
    <row r="999440" spans="1:1" x14ac:dyDescent="0.2">
      <c r="A999440" s="97" t="s">
        <v>110</v>
      </c>
    </row>
    <row r="999441" spans="1:1" x14ac:dyDescent="0.2">
      <c r="A999441" s="97" t="s">
        <v>111</v>
      </c>
    </row>
    <row r="999442" spans="1:1" x14ac:dyDescent="0.2">
      <c r="A999442" s="97" t="s">
        <v>112</v>
      </c>
    </row>
    <row r="999443" spans="1:1" x14ac:dyDescent="0.2">
      <c r="A999443" s="97" t="s">
        <v>113</v>
      </c>
    </row>
    <row r="999444" spans="1:1" x14ac:dyDescent="0.2">
      <c r="A999444" s="97" t="s">
        <v>114</v>
      </c>
    </row>
    <row r="999445" spans="1:1" x14ac:dyDescent="0.2">
      <c r="A999445" s="97" t="s">
        <v>115</v>
      </c>
    </row>
    <row r="999446" spans="1:1" x14ac:dyDescent="0.2">
      <c r="A999446" s="97" t="s">
        <v>116</v>
      </c>
    </row>
    <row r="999447" spans="1:1" x14ac:dyDescent="0.2">
      <c r="A999447" s="97" t="s">
        <v>117</v>
      </c>
    </row>
    <row r="999448" spans="1:1" x14ac:dyDescent="0.2">
      <c r="A999448" s="97" t="s">
        <v>118</v>
      </c>
    </row>
    <row r="999449" spans="1:1" x14ac:dyDescent="0.2">
      <c r="A999449" s="97" t="s">
        <v>119</v>
      </c>
    </row>
    <row r="999450" spans="1:1" x14ac:dyDescent="0.2">
      <c r="A999450" s="97" t="s">
        <v>120</v>
      </c>
    </row>
    <row r="999451" spans="1:1" x14ac:dyDescent="0.2">
      <c r="A999451" s="97" t="s">
        <v>121</v>
      </c>
    </row>
    <row r="999452" spans="1:1" x14ac:dyDescent="0.2">
      <c r="A999452" s="97" t="s">
        <v>122</v>
      </c>
    </row>
    <row r="999453" spans="1:1" x14ac:dyDescent="0.2">
      <c r="A999453" s="97" t="s">
        <v>123</v>
      </c>
    </row>
    <row r="999454" spans="1:1" x14ac:dyDescent="0.2">
      <c r="A999454" s="97" t="s">
        <v>124</v>
      </c>
    </row>
    <row r="999455" spans="1:1" x14ac:dyDescent="0.2">
      <c r="A999455" s="97" t="s">
        <v>125</v>
      </c>
    </row>
    <row r="999456" spans="1:1" x14ac:dyDescent="0.2">
      <c r="A999456" s="97" t="s">
        <v>126</v>
      </c>
    </row>
    <row r="999457" spans="1:1" x14ac:dyDescent="0.2">
      <c r="A999457" s="97" t="s">
        <v>127</v>
      </c>
    </row>
    <row r="999458" spans="1:1" x14ac:dyDescent="0.2">
      <c r="A999458" s="97" t="s">
        <v>128</v>
      </c>
    </row>
    <row r="999459" spans="1:1" x14ac:dyDescent="0.2">
      <c r="A999459" s="97" t="s">
        <v>129</v>
      </c>
    </row>
    <row r="999460" spans="1:1" x14ac:dyDescent="0.2">
      <c r="A999460" s="97" t="s">
        <v>130</v>
      </c>
    </row>
    <row r="999461" spans="1:1" x14ac:dyDescent="0.2">
      <c r="A999461" s="97" t="s">
        <v>131</v>
      </c>
    </row>
    <row r="999462" spans="1:1" x14ac:dyDescent="0.2">
      <c r="A999462" s="97" t="s">
        <v>132</v>
      </c>
    </row>
    <row r="999463" spans="1:1" x14ac:dyDescent="0.2">
      <c r="A999463" s="97" t="s">
        <v>133</v>
      </c>
    </row>
    <row r="999464" spans="1:1" x14ac:dyDescent="0.2">
      <c r="A999464" s="97" t="s">
        <v>134</v>
      </c>
    </row>
    <row r="999465" spans="1:1" x14ac:dyDescent="0.2">
      <c r="A999465" s="97" t="s">
        <v>135</v>
      </c>
    </row>
    <row r="999466" spans="1:1" x14ac:dyDescent="0.2">
      <c r="A999466" s="97" t="s">
        <v>136</v>
      </c>
    </row>
    <row r="999467" spans="1:1" x14ac:dyDescent="0.2">
      <c r="A999467" s="97" t="s">
        <v>137</v>
      </c>
    </row>
    <row r="999468" spans="1:1" x14ac:dyDescent="0.2">
      <c r="A999468" s="97" t="s">
        <v>138</v>
      </c>
    </row>
    <row r="999469" spans="1:1" x14ac:dyDescent="0.2">
      <c r="A999469" s="97" t="s">
        <v>139</v>
      </c>
    </row>
    <row r="999470" spans="1:1" x14ac:dyDescent="0.2">
      <c r="A999470" s="97" t="s">
        <v>140</v>
      </c>
    </row>
    <row r="999471" spans="1:1" x14ac:dyDescent="0.2">
      <c r="A999471" s="97" t="s">
        <v>141</v>
      </c>
    </row>
    <row r="999472" spans="1:1" x14ac:dyDescent="0.2">
      <c r="A999472" s="97" t="s">
        <v>142</v>
      </c>
    </row>
    <row r="999473" spans="1:1" x14ac:dyDescent="0.2">
      <c r="A999473" s="97" t="s">
        <v>143</v>
      </c>
    </row>
    <row r="999474" spans="1:1" x14ac:dyDescent="0.2">
      <c r="A999474" s="97" t="s">
        <v>144</v>
      </c>
    </row>
    <row r="999475" spans="1:1" x14ac:dyDescent="0.2">
      <c r="A999475" s="97" t="s">
        <v>145</v>
      </c>
    </row>
    <row r="999476" spans="1:1" x14ac:dyDescent="0.2">
      <c r="A999476" s="97" t="s">
        <v>146</v>
      </c>
    </row>
    <row r="999477" spans="1:1" x14ac:dyDescent="0.2">
      <c r="A999477" s="97" t="s">
        <v>147</v>
      </c>
    </row>
    <row r="999478" spans="1:1" x14ac:dyDescent="0.2">
      <c r="A999478" s="97" t="s">
        <v>148</v>
      </c>
    </row>
    <row r="999479" spans="1:1" x14ac:dyDescent="0.2">
      <c r="A999479" s="97" t="s">
        <v>149</v>
      </c>
    </row>
    <row r="999480" spans="1:1" x14ac:dyDescent="0.2">
      <c r="A999480" s="97" t="s">
        <v>150</v>
      </c>
    </row>
    <row r="999481" spans="1:1" x14ac:dyDescent="0.2">
      <c r="A999481" s="97" t="s">
        <v>151</v>
      </c>
    </row>
    <row r="999482" spans="1:1" x14ac:dyDescent="0.2">
      <c r="A999482" s="97" t="s">
        <v>152</v>
      </c>
    </row>
    <row r="999483" spans="1:1" x14ac:dyDescent="0.2">
      <c r="A999483" s="97" t="s">
        <v>153</v>
      </c>
    </row>
    <row r="999484" spans="1:1" x14ac:dyDescent="0.2">
      <c r="A999484" s="97" t="s">
        <v>154</v>
      </c>
    </row>
    <row r="999485" spans="1:1" x14ac:dyDescent="0.2">
      <c r="A999485" s="97" t="s">
        <v>155</v>
      </c>
    </row>
    <row r="999486" spans="1:1" x14ac:dyDescent="0.2">
      <c r="A999486" s="97" t="s">
        <v>156</v>
      </c>
    </row>
    <row r="999487" spans="1:1" x14ac:dyDescent="0.2">
      <c r="A999487" s="97" t="s">
        <v>157</v>
      </c>
    </row>
    <row r="999488" spans="1:1" x14ac:dyDescent="0.2">
      <c r="A999488" s="97" t="s">
        <v>158</v>
      </c>
    </row>
    <row r="999489" spans="1:1" x14ac:dyDescent="0.2">
      <c r="A999489" s="97" t="s">
        <v>159</v>
      </c>
    </row>
    <row r="999490" spans="1:1" x14ac:dyDescent="0.2">
      <c r="A999490" s="97" t="s">
        <v>160</v>
      </c>
    </row>
    <row r="999491" spans="1:1" x14ac:dyDescent="0.2">
      <c r="A999491" s="97" t="s">
        <v>161</v>
      </c>
    </row>
    <row r="999492" spans="1:1" x14ac:dyDescent="0.2">
      <c r="A999492" s="97" t="s">
        <v>162</v>
      </c>
    </row>
    <row r="999493" spans="1:1" x14ac:dyDescent="0.2">
      <c r="A999493" s="97" t="s">
        <v>163</v>
      </c>
    </row>
    <row r="999494" spans="1:1" x14ac:dyDescent="0.2">
      <c r="A999494" s="97" t="s">
        <v>164</v>
      </c>
    </row>
    <row r="999495" spans="1:1" x14ac:dyDescent="0.2">
      <c r="A999495" s="97" t="s">
        <v>165</v>
      </c>
    </row>
    <row r="999496" spans="1:1" x14ac:dyDescent="0.2">
      <c r="A999496" s="97" t="s">
        <v>166</v>
      </c>
    </row>
    <row r="999497" spans="1:1" x14ac:dyDescent="0.2">
      <c r="A999497" s="97" t="s">
        <v>167</v>
      </c>
    </row>
    <row r="999498" spans="1:1" x14ac:dyDescent="0.2">
      <c r="A999498" s="97" t="s">
        <v>168</v>
      </c>
    </row>
    <row r="999499" spans="1:1" x14ac:dyDescent="0.2">
      <c r="A999499" s="97" t="s">
        <v>169</v>
      </c>
    </row>
    <row r="999500" spans="1:1" x14ac:dyDescent="0.2">
      <c r="A999500" s="97" t="s">
        <v>170</v>
      </c>
    </row>
    <row r="999501" spans="1:1" x14ac:dyDescent="0.2">
      <c r="A999501" s="97" t="s">
        <v>171</v>
      </c>
    </row>
    <row r="999502" spans="1:1" x14ac:dyDescent="0.2">
      <c r="A999502" s="97" t="s">
        <v>172</v>
      </c>
    </row>
    <row r="999503" spans="1:1" x14ac:dyDescent="0.2">
      <c r="A999503" s="97" t="s">
        <v>173</v>
      </c>
    </row>
    <row r="999504" spans="1:1" x14ac:dyDescent="0.2">
      <c r="A999504" s="97" t="s">
        <v>174</v>
      </c>
    </row>
    <row r="999505" spans="1:1" x14ac:dyDescent="0.2">
      <c r="A999505" s="97" t="s">
        <v>175</v>
      </c>
    </row>
    <row r="999506" spans="1:1" x14ac:dyDescent="0.2">
      <c r="A999506" s="97" t="s">
        <v>176</v>
      </c>
    </row>
    <row r="999507" spans="1:1" x14ac:dyDescent="0.2">
      <c r="A999507" s="97" t="s">
        <v>177</v>
      </c>
    </row>
    <row r="999508" spans="1:1" x14ac:dyDescent="0.2">
      <c r="A999508" s="97" t="s">
        <v>178</v>
      </c>
    </row>
    <row r="999509" spans="1:1" x14ac:dyDescent="0.2">
      <c r="A999509" s="97" t="s">
        <v>179</v>
      </c>
    </row>
    <row r="999510" spans="1:1" x14ac:dyDescent="0.2">
      <c r="A999510" s="97" t="s">
        <v>180</v>
      </c>
    </row>
    <row r="999511" spans="1:1" x14ac:dyDescent="0.2">
      <c r="A999511" s="97" t="s">
        <v>181</v>
      </c>
    </row>
    <row r="999512" spans="1:1" x14ac:dyDescent="0.2">
      <c r="A999512" s="97" t="s">
        <v>182</v>
      </c>
    </row>
    <row r="999513" spans="1:1" x14ac:dyDescent="0.2">
      <c r="A999513" s="97" t="s">
        <v>183</v>
      </c>
    </row>
    <row r="1015809" spans="1:1" x14ac:dyDescent="0.2">
      <c r="A1015809" s="97" t="s">
        <v>95</v>
      </c>
    </row>
    <row r="1015810" spans="1:1" x14ac:dyDescent="0.2">
      <c r="A1015810" s="97" t="s">
        <v>96</v>
      </c>
    </row>
    <row r="1015811" spans="1:1" x14ac:dyDescent="0.2">
      <c r="A1015811" s="97" t="s">
        <v>97</v>
      </c>
    </row>
    <row r="1015812" spans="1:1" x14ac:dyDescent="0.2">
      <c r="A1015812" s="97" t="s">
        <v>98</v>
      </c>
    </row>
    <row r="1015813" spans="1:1" x14ac:dyDescent="0.2">
      <c r="A1015813" s="97" t="s">
        <v>99</v>
      </c>
    </row>
    <row r="1015814" spans="1:1" x14ac:dyDescent="0.2">
      <c r="A1015814" s="97" t="s">
        <v>100</v>
      </c>
    </row>
    <row r="1015815" spans="1:1" x14ac:dyDescent="0.2">
      <c r="A1015815" s="97" t="s">
        <v>101</v>
      </c>
    </row>
    <row r="1015816" spans="1:1" x14ac:dyDescent="0.2">
      <c r="A1015816" s="97" t="s">
        <v>102</v>
      </c>
    </row>
    <row r="1015817" spans="1:1" x14ac:dyDescent="0.2">
      <c r="A1015817" s="97" t="s">
        <v>103</v>
      </c>
    </row>
    <row r="1015818" spans="1:1" x14ac:dyDescent="0.2">
      <c r="A1015818" s="97" t="s">
        <v>104</v>
      </c>
    </row>
    <row r="1015819" spans="1:1" x14ac:dyDescent="0.2">
      <c r="A1015819" s="97" t="s">
        <v>105</v>
      </c>
    </row>
    <row r="1015820" spans="1:1" x14ac:dyDescent="0.2">
      <c r="A1015820" s="97" t="s">
        <v>106</v>
      </c>
    </row>
    <row r="1015821" spans="1:1" x14ac:dyDescent="0.2">
      <c r="A1015821" s="97" t="s">
        <v>107</v>
      </c>
    </row>
    <row r="1015822" spans="1:1" x14ac:dyDescent="0.2">
      <c r="A1015822" s="97" t="s">
        <v>108</v>
      </c>
    </row>
    <row r="1015823" spans="1:1" x14ac:dyDescent="0.2">
      <c r="A1015823" s="97" t="s">
        <v>109</v>
      </c>
    </row>
    <row r="1015824" spans="1:1" x14ac:dyDescent="0.2">
      <c r="A1015824" s="97" t="s">
        <v>110</v>
      </c>
    </row>
    <row r="1015825" spans="1:1" x14ac:dyDescent="0.2">
      <c r="A1015825" s="97" t="s">
        <v>111</v>
      </c>
    </row>
    <row r="1015826" spans="1:1" x14ac:dyDescent="0.2">
      <c r="A1015826" s="97" t="s">
        <v>112</v>
      </c>
    </row>
    <row r="1015827" spans="1:1" x14ac:dyDescent="0.2">
      <c r="A1015827" s="97" t="s">
        <v>113</v>
      </c>
    </row>
    <row r="1015828" spans="1:1" x14ac:dyDescent="0.2">
      <c r="A1015828" s="97" t="s">
        <v>114</v>
      </c>
    </row>
    <row r="1015829" spans="1:1" x14ac:dyDescent="0.2">
      <c r="A1015829" s="97" t="s">
        <v>115</v>
      </c>
    </row>
    <row r="1015830" spans="1:1" x14ac:dyDescent="0.2">
      <c r="A1015830" s="97" t="s">
        <v>116</v>
      </c>
    </row>
    <row r="1015831" spans="1:1" x14ac:dyDescent="0.2">
      <c r="A1015831" s="97" t="s">
        <v>117</v>
      </c>
    </row>
    <row r="1015832" spans="1:1" x14ac:dyDescent="0.2">
      <c r="A1015832" s="97" t="s">
        <v>118</v>
      </c>
    </row>
    <row r="1015833" spans="1:1" x14ac:dyDescent="0.2">
      <c r="A1015833" s="97" t="s">
        <v>119</v>
      </c>
    </row>
    <row r="1015834" spans="1:1" x14ac:dyDescent="0.2">
      <c r="A1015834" s="97" t="s">
        <v>120</v>
      </c>
    </row>
    <row r="1015835" spans="1:1" x14ac:dyDescent="0.2">
      <c r="A1015835" s="97" t="s">
        <v>121</v>
      </c>
    </row>
    <row r="1015836" spans="1:1" x14ac:dyDescent="0.2">
      <c r="A1015836" s="97" t="s">
        <v>122</v>
      </c>
    </row>
    <row r="1015837" spans="1:1" x14ac:dyDescent="0.2">
      <c r="A1015837" s="97" t="s">
        <v>123</v>
      </c>
    </row>
    <row r="1015838" spans="1:1" x14ac:dyDescent="0.2">
      <c r="A1015838" s="97" t="s">
        <v>124</v>
      </c>
    </row>
    <row r="1015839" spans="1:1" x14ac:dyDescent="0.2">
      <c r="A1015839" s="97" t="s">
        <v>125</v>
      </c>
    </row>
    <row r="1015840" spans="1:1" x14ac:dyDescent="0.2">
      <c r="A1015840" s="97" t="s">
        <v>126</v>
      </c>
    </row>
    <row r="1015841" spans="1:1" x14ac:dyDescent="0.2">
      <c r="A1015841" s="97" t="s">
        <v>127</v>
      </c>
    </row>
    <row r="1015842" spans="1:1" x14ac:dyDescent="0.2">
      <c r="A1015842" s="97" t="s">
        <v>128</v>
      </c>
    </row>
    <row r="1015843" spans="1:1" x14ac:dyDescent="0.2">
      <c r="A1015843" s="97" t="s">
        <v>129</v>
      </c>
    </row>
    <row r="1015844" spans="1:1" x14ac:dyDescent="0.2">
      <c r="A1015844" s="97" t="s">
        <v>130</v>
      </c>
    </row>
    <row r="1015845" spans="1:1" x14ac:dyDescent="0.2">
      <c r="A1015845" s="97" t="s">
        <v>131</v>
      </c>
    </row>
    <row r="1015846" spans="1:1" x14ac:dyDescent="0.2">
      <c r="A1015846" s="97" t="s">
        <v>132</v>
      </c>
    </row>
    <row r="1015847" spans="1:1" x14ac:dyDescent="0.2">
      <c r="A1015847" s="97" t="s">
        <v>133</v>
      </c>
    </row>
    <row r="1015848" spans="1:1" x14ac:dyDescent="0.2">
      <c r="A1015848" s="97" t="s">
        <v>134</v>
      </c>
    </row>
    <row r="1015849" spans="1:1" x14ac:dyDescent="0.2">
      <c r="A1015849" s="97" t="s">
        <v>135</v>
      </c>
    </row>
    <row r="1015850" spans="1:1" x14ac:dyDescent="0.2">
      <c r="A1015850" s="97" t="s">
        <v>136</v>
      </c>
    </row>
    <row r="1015851" spans="1:1" x14ac:dyDescent="0.2">
      <c r="A1015851" s="97" t="s">
        <v>137</v>
      </c>
    </row>
    <row r="1015852" spans="1:1" x14ac:dyDescent="0.2">
      <c r="A1015852" s="97" t="s">
        <v>138</v>
      </c>
    </row>
    <row r="1015853" spans="1:1" x14ac:dyDescent="0.2">
      <c r="A1015853" s="97" t="s">
        <v>139</v>
      </c>
    </row>
    <row r="1015854" spans="1:1" x14ac:dyDescent="0.2">
      <c r="A1015854" s="97" t="s">
        <v>140</v>
      </c>
    </row>
    <row r="1015855" spans="1:1" x14ac:dyDescent="0.2">
      <c r="A1015855" s="97" t="s">
        <v>141</v>
      </c>
    </row>
    <row r="1015856" spans="1:1" x14ac:dyDescent="0.2">
      <c r="A1015856" s="97" t="s">
        <v>142</v>
      </c>
    </row>
    <row r="1015857" spans="1:1" x14ac:dyDescent="0.2">
      <c r="A1015857" s="97" t="s">
        <v>143</v>
      </c>
    </row>
    <row r="1015858" spans="1:1" x14ac:dyDescent="0.2">
      <c r="A1015858" s="97" t="s">
        <v>144</v>
      </c>
    </row>
    <row r="1015859" spans="1:1" x14ac:dyDescent="0.2">
      <c r="A1015859" s="97" t="s">
        <v>145</v>
      </c>
    </row>
    <row r="1015860" spans="1:1" x14ac:dyDescent="0.2">
      <c r="A1015860" s="97" t="s">
        <v>146</v>
      </c>
    </row>
    <row r="1015861" spans="1:1" x14ac:dyDescent="0.2">
      <c r="A1015861" s="97" t="s">
        <v>147</v>
      </c>
    </row>
    <row r="1015862" spans="1:1" x14ac:dyDescent="0.2">
      <c r="A1015862" s="97" t="s">
        <v>148</v>
      </c>
    </row>
    <row r="1015863" spans="1:1" x14ac:dyDescent="0.2">
      <c r="A1015863" s="97" t="s">
        <v>149</v>
      </c>
    </row>
    <row r="1015864" spans="1:1" x14ac:dyDescent="0.2">
      <c r="A1015864" s="97" t="s">
        <v>150</v>
      </c>
    </row>
    <row r="1015865" spans="1:1" x14ac:dyDescent="0.2">
      <c r="A1015865" s="97" t="s">
        <v>151</v>
      </c>
    </row>
    <row r="1015866" spans="1:1" x14ac:dyDescent="0.2">
      <c r="A1015866" s="97" t="s">
        <v>152</v>
      </c>
    </row>
    <row r="1015867" spans="1:1" x14ac:dyDescent="0.2">
      <c r="A1015867" s="97" t="s">
        <v>153</v>
      </c>
    </row>
    <row r="1015868" spans="1:1" x14ac:dyDescent="0.2">
      <c r="A1015868" s="97" t="s">
        <v>154</v>
      </c>
    </row>
    <row r="1015869" spans="1:1" x14ac:dyDescent="0.2">
      <c r="A1015869" s="97" t="s">
        <v>155</v>
      </c>
    </row>
    <row r="1015870" spans="1:1" x14ac:dyDescent="0.2">
      <c r="A1015870" s="97" t="s">
        <v>156</v>
      </c>
    </row>
    <row r="1015871" spans="1:1" x14ac:dyDescent="0.2">
      <c r="A1015871" s="97" t="s">
        <v>157</v>
      </c>
    </row>
    <row r="1015872" spans="1:1" x14ac:dyDescent="0.2">
      <c r="A1015872" s="97" t="s">
        <v>158</v>
      </c>
    </row>
    <row r="1015873" spans="1:1" x14ac:dyDescent="0.2">
      <c r="A1015873" s="97" t="s">
        <v>159</v>
      </c>
    </row>
    <row r="1015874" spans="1:1" x14ac:dyDescent="0.2">
      <c r="A1015874" s="97" t="s">
        <v>160</v>
      </c>
    </row>
    <row r="1015875" spans="1:1" x14ac:dyDescent="0.2">
      <c r="A1015875" s="97" t="s">
        <v>161</v>
      </c>
    </row>
    <row r="1015876" spans="1:1" x14ac:dyDescent="0.2">
      <c r="A1015876" s="97" t="s">
        <v>162</v>
      </c>
    </row>
    <row r="1015877" spans="1:1" x14ac:dyDescent="0.2">
      <c r="A1015877" s="97" t="s">
        <v>163</v>
      </c>
    </row>
    <row r="1015878" spans="1:1" x14ac:dyDescent="0.2">
      <c r="A1015878" s="97" t="s">
        <v>164</v>
      </c>
    </row>
    <row r="1015879" spans="1:1" x14ac:dyDescent="0.2">
      <c r="A1015879" s="97" t="s">
        <v>165</v>
      </c>
    </row>
    <row r="1015880" spans="1:1" x14ac:dyDescent="0.2">
      <c r="A1015880" s="97" t="s">
        <v>166</v>
      </c>
    </row>
    <row r="1015881" spans="1:1" x14ac:dyDescent="0.2">
      <c r="A1015881" s="97" t="s">
        <v>167</v>
      </c>
    </row>
    <row r="1015882" spans="1:1" x14ac:dyDescent="0.2">
      <c r="A1015882" s="97" t="s">
        <v>168</v>
      </c>
    </row>
    <row r="1015883" spans="1:1" x14ac:dyDescent="0.2">
      <c r="A1015883" s="97" t="s">
        <v>169</v>
      </c>
    </row>
    <row r="1015884" spans="1:1" x14ac:dyDescent="0.2">
      <c r="A1015884" s="97" t="s">
        <v>170</v>
      </c>
    </row>
    <row r="1015885" spans="1:1" x14ac:dyDescent="0.2">
      <c r="A1015885" s="97" t="s">
        <v>171</v>
      </c>
    </row>
    <row r="1015886" spans="1:1" x14ac:dyDescent="0.2">
      <c r="A1015886" s="97" t="s">
        <v>172</v>
      </c>
    </row>
    <row r="1015887" spans="1:1" x14ac:dyDescent="0.2">
      <c r="A1015887" s="97" t="s">
        <v>173</v>
      </c>
    </row>
    <row r="1015888" spans="1:1" x14ac:dyDescent="0.2">
      <c r="A1015888" s="97" t="s">
        <v>174</v>
      </c>
    </row>
    <row r="1015889" spans="1:1" x14ac:dyDescent="0.2">
      <c r="A1015889" s="97" t="s">
        <v>175</v>
      </c>
    </row>
    <row r="1015890" spans="1:1" x14ac:dyDescent="0.2">
      <c r="A1015890" s="97" t="s">
        <v>176</v>
      </c>
    </row>
    <row r="1015891" spans="1:1" x14ac:dyDescent="0.2">
      <c r="A1015891" s="97" t="s">
        <v>177</v>
      </c>
    </row>
    <row r="1015892" spans="1:1" x14ac:dyDescent="0.2">
      <c r="A1015892" s="97" t="s">
        <v>178</v>
      </c>
    </row>
    <row r="1015893" spans="1:1" x14ac:dyDescent="0.2">
      <c r="A1015893" s="97" t="s">
        <v>179</v>
      </c>
    </row>
    <row r="1015894" spans="1:1" x14ac:dyDescent="0.2">
      <c r="A1015894" s="97" t="s">
        <v>180</v>
      </c>
    </row>
    <row r="1015895" spans="1:1" x14ac:dyDescent="0.2">
      <c r="A1015895" s="97" t="s">
        <v>181</v>
      </c>
    </row>
    <row r="1015896" spans="1:1" x14ac:dyDescent="0.2">
      <c r="A1015896" s="97" t="s">
        <v>182</v>
      </c>
    </row>
    <row r="1015897" spans="1:1" x14ac:dyDescent="0.2">
      <c r="A1015897" s="97" t="s">
        <v>183</v>
      </c>
    </row>
    <row r="1032193" spans="1:1" x14ac:dyDescent="0.2">
      <c r="A1032193" s="97" t="s">
        <v>95</v>
      </c>
    </row>
    <row r="1032194" spans="1:1" x14ac:dyDescent="0.2">
      <c r="A1032194" s="97" t="s">
        <v>96</v>
      </c>
    </row>
    <row r="1032195" spans="1:1" x14ac:dyDescent="0.2">
      <c r="A1032195" s="97" t="s">
        <v>97</v>
      </c>
    </row>
    <row r="1032196" spans="1:1" x14ac:dyDescent="0.2">
      <c r="A1032196" s="97" t="s">
        <v>98</v>
      </c>
    </row>
    <row r="1032197" spans="1:1" x14ac:dyDescent="0.2">
      <c r="A1032197" s="97" t="s">
        <v>99</v>
      </c>
    </row>
    <row r="1032198" spans="1:1" x14ac:dyDescent="0.2">
      <c r="A1032198" s="97" t="s">
        <v>100</v>
      </c>
    </row>
    <row r="1032199" spans="1:1" x14ac:dyDescent="0.2">
      <c r="A1032199" s="97" t="s">
        <v>101</v>
      </c>
    </row>
    <row r="1032200" spans="1:1" x14ac:dyDescent="0.2">
      <c r="A1032200" s="97" t="s">
        <v>102</v>
      </c>
    </row>
    <row r="1032201" spans="1:1" x14ac:dyDescent="0.2">
      <c r="A1032201" s="97" t="s">
        <v>103</v>
      </c>
    </row>
    <row r="1032202" spans="1:1" x14ac:dyDescent="0.2">
      <c r="A1032202" s="97" t="s">
        <v>104</v>
      </c>
    </row>
    <row r="1032203" spans="1:1" x14ac:dyDescent="0.2">
      <c r="A1032203" s="97" t="s">
        <v>105</v>
      </c>
    </row>
    <row r="1032204" spans="1:1" x14ac:dyDescent="0.2">
      <c r="A1032204" s="97" t="s">
        <v>106</v>
      </c>
    </row>
    <row r="1032205" spans="1:1" x14ac:dyDescent="0.2">
      <c r="A1032205" s="97" t="s">
        <v>107</v>
      </c>
    </row>
    <row r="1032206" spans="1:1" x14ac:dyDescent="0.2">
      <c r="A1032206" s="97" t="s">
        <v>108</v>
      </c>
    </row>
    <row r="1032207" spans="1:1" x14ac:dyDescent="0.2">
      <c r="A1032207" s="97" t="s">
        <v>109</v>
      </c>
    </row>
    <row r="1032208" spans="1:1" x14ac:dyDescent="0.2">
      <c r="A1032208" s="97" t="s">
        <v>110</v>
      </c>
    </row>
    <row r="1032209" spans="1:1" x14ac:dyDescent="0.2">
      <c r="A1032209" s="97" t="s">
        <v>111</v>
      </c>
    </row>
    <row r="1032210" spans="1:1" x14ac:dyDescent="0.2">
      <c r="A1032210" s="97" t="s">
        <v>112</v>
      </c>
    </row>
    <row r="1032211" spans="1:1" x14ac:dyDescent="0.2">
      <c r="A1032211" s="97" t="s">
        <v>113</v>
      </c>
    </row>
    <row r="1032212" spans="1:1" x14ac:dyDescent="0.2">
      <c r="A1032212" s="97" t="s">
        <v>114</v>
      </c>
    </row>
    <row r="1032213" spans="1:1" x14ac:dyDescent="0.2">
      <c r="A1032213" s="97" t="s">
        <v>115</v>
      </c>
    </row>
    <row r="1032214" spans="1:1" x14ac:dyDescent="0.2">
      <c r="A1032214" s="97" t="s">
        <v>116</v>
      </c>
    </row>
    <row r="1032215" spans="1:1" x14ac:dyDescent="0.2">
      <c r="A1032215" s="97" t="s">
        <v>117</v>
      </c>
    </row>
    <row r="1032216" spans="1:1" x14ac:dyDescent="0.2">
      <c r="A1032216" s="97" t="s">
        <v>118</v>
      </c>
    </row>
    <row r="1032217" spans="1:1" x14ac:dyDescent="0.2">
      <c r="A1032217" s="97" t="s">
        <v>119</v>
      </c>
    </row>
    <row r="1032218" spans="1:1" x14ac:dyDescent="0.2">
      <c r="A1032218" s="97" t="s">
        <v>120</v>
      </c>
    </row>
    <row r="1032219" spans="1:1" x14ac:dyDescent="0.2">
      <c r="A1032219" s="97" t="s">
        <v>121</v>
      </c>
    </row>
    <row r="1032220" spans="1:1" x14ac:dyDescent="0.2">
      <c r="A1032220" s="97" t="s">
        <v>122</v>
      </c>
    </row>
    <row r="1032221" spans="1:1" x14ac:dyDescent="0.2">
      <c r="A1032221" s="97" t="s">
        <v>123</v>
      </c>
    </row>
    <row r="1032222" spans="1:1" x14ac:dyDescent="0.2">
      <c r="A1032222" s="97" t="s">
        <v>124</v>
      </c>
    </row>
    <row r="1032223" spans="1:1" x14ac:dyDescent="0.2">
      <c r="A1032223" s="97" t="s">
        <v>125</v>
      </c>
    </row>
    <row r="1032224" spans="1:1" x14ac:dyDescent="0.2">
      <c r="A1032224" s="97" t="s">
        <v>126</v>
      </c>
    </row>
    <row r="1032225" spans="1:1" x14ac:dyDescent="0.2">
      <c r="A1032225" s="97" t="s">
        <v>127</v>
      </c>
    </row>
    <row r="1032226" spans="1:1" x14ac:dyDescent="0.2">
      <c r="A1032226" s="97" t="s">
        <v>128</v>
      </c>
    </row>
    <row r="1032227" spans="1:1" x14ac:dyDescent="0.2">
      <c r="A1032227" s="97" t="s">
        <v>129</v>
      </c>
    </row>
    <row r="1032228" spans="1:1" x14ac:dyDescent="0.2">
      <c r="A1032228" s="97" t="s">
        <v>130</v>
      </c>
    </row>
    <row r="1032229" spans="1:1" x14ac:dyDescent="0.2">
      <c r="A1032229" s="97" t="s">
        <v>131</v>
      </c>
    </row>
    <row r="1032230" spans="1:1" x14ac:dyDescent="0.2">
      <c r="A1032230" s="97" t="s">
        <v>132</v>
      </c>
    </row>
    <row r="1032231" spans="1:1" x14ac:dyDescent="0.2">
      <c r="A1032231" s="97" t="s">
        <v>133</v>
      </c>
    </row>
    <row r="1032232" spans="1:1" x14ac:dyDescent="0.2">
      <c r="A1032232" s="97" t="s">
        <v>134</v>
      </c>
    </row>
    <row r="1032233" spans="1:1" x14ac:dyDescent="0.2">
      <c r="A1032233" s="97" t="s">
        <v>135</v>
      </c>
    </row>
    <row r="1032234" spans="1:1" x14ac:dyDescent="0.2">
      <c r="A1032234" s="97" t="s">
        <v>136</v>
      </c>
    </row>
    <row r="1032235" spans="1:1" x14ac:dyDescent="0.2">
      <c r="A1032235" s="97" t="s">
        <v>137</v>
      </c>
    </row>
    <row r="1032236" spans="1:1" x14ac:dyDescent="0.2">
      <c r="A1032236" s="97" t="s">
        <v>138</v>
      </c>
    </row>
    <row r="1032237" spans="1:1" x14ac:dyDescent="0.2">
      <c r="A1032237" s="97" t="s">
        <v>139</v>
      </c>
    </row>
    <row r="1032238" spans="1:1" x14ac:dyDescent="0.2">
      <c r="A1032238" s="97" t="s">
        <v>140</v>
      </c>
    </row>
    <row r="1032239" spans="1:1" x14ac:dyDescent="0.2">
      <c r="A1032239" s="97" t="s">
        <v>141</v>
      </c>
    </row>
    <row r="1032240" spans="1:1" x14ac:dyDescent="0.2">
      <c r="A1032240" s="97" t="s">
        <v>142</v>
      </c>
    </row>
    <row r="1032241" spans="1:1" x14ac:dyDescent="0.2">
      <c r="A1032241" s="97" t="s">
        <v>143</v>
      </c>
    </row>
    <row r="1032242" spans="1:1" x14ac:dyDescent="0.2">
      <c r="A1032242" s="97" t="s">
        <v>144</v>
      </c>
    </row>
    <row r="1032243" spans="1:1" x14ac:dyDescent="0.2">
      <c r="A1032243" s="97" t="s">
        <v>145</v>
      </c>
    </row>
    <row r="1032244" spans="1:1" x14ac:dyDescent="0.2">
      <c r="A1032244" s="97" t="s">
        <v>146</v>
      </c>
    </row>
    <row r="1032245" spans="1:1" x14ac:dyDescent="0.2">
      <c r="A1032245" s="97" t="s">
        <v>147</v>
      </c>
    </row>
    <row r="1032246" spans="1:1" x14ac:dyDescent="0.2">
      <c r="A1032246" s="97" t="s">
        <v>148</v>
      </c>
    </row>
    <row r="1032247" spans="1:1" x14ac:dyDescent="0.2">
      <c r="A1032247" s="97" t="s">
        <v>149</v>
      </c>
    </row>
    <row r="1032248" spans="1:1" x14ac:dyDescent="0.2">
      <c r="A1032248" s="97" t="s">
        <v>150</v>
      </c>
    </row>
    <row r="1032249" spans="1:1" x14ac:dyDescent="0.2">
      <c r="A1032249" s="97" t="s">
        <v>151</v>
      </c>
    </row>
    <row r="1032250" spans="1:1" x14ac:dyDescent="0.2">
      <c r="A1032250" s="97" t="s">
        <v>152</v>
      </c>
    </row>
    <row r="1032251" spans="1:1" x14ac:dyDescent="0.2">
      <c r="A1032251" s="97" t="s">
        <v>153</v>
      </c>
    </row>
    <row r="1032252" spans="1:1" x14ac:dyDescent="0.2">
      <c r="A1032252" s="97" t="s">
        <v>154</v>
      </c>
    </row>
    <row r="1032253" spans="1:1" x14ac:dyDescent="0.2">
      <c r="A1032253" s="97" t="s">
        <v>155</v>
      </c>
    </row>
    <row r="1032254" spans="1:1" x14ac:dyDescent="0.2">
      <c r="A1032254" s="97" t="s">
        <v>156</v>
      </c>
    </row>
    <row r="1032255" spans="1:1" x14ac:dyDescent="0.2">
      <c r="A1032255" s="97" t="s">
        <v>157</v>
      </c>
    </row>
    <row r="1032256" spans="1:1" x14ac:dyDescent="0.2">
      <c r="A1032256" s="97" t="s">
        <v>158</v>
      </c>
    </row>
    <row r="1032257" spans="1:1" x14ac:dyDescent="0.2">
      <c r="A1032257" s="97" t="s">
        <v>159</v>
      </c>
    </row>
    <row r="1032258" spans="1:1" x14ac:dyDescent="0.2">
      <c r="A1032258" s="97" t="s">
        <v>160</v>
      </c>
    </row>
    <row r="1032259" spans="1:1" x14ac:dyDescent="0.2">
      <c r="A1032259" s="97" t="s">
        <v>161</v>
      </c>
    </row>
    <row r="1032260" spans="1:1" x14ac:dyDescent="0.2">
      <c r="A1032260" s="97" t="s">
        <v>162</v>
      </c>
    </row>
    <row r="1032261" spans="1:1" x14ac:dyDescent="0.2">
      <c r="A1032261" s="97" t="s">
        <v>163</v>
      </c>
    </row>
    <row r="1032262" spans="1:1" x14ac:dyDescent="0.2">
      <c r="A1032262" s="97" t="s">
        <v>164</v>
      </c>
    </row>
    <row r="1032263" spans="1:1" x14ac:dyDescent="0.2">
      <c r="A1032263" s="97" t="s">
        <v>165</v>
      </c>
    </row>
    <row r="1032264" spans="1:1" x14ac:dyDescent="0.2">
      <c r="A1032264" s="97" t="s">
        <v>166</v>
      </c>
    </row>
    <row r="1032265" spans="1:1" x14ac:dyDescent="0.2">
      <c r="A1032265" s="97" t="s">
        <v>167</v>
      </c>
    </row>
    <row r="1032266" spans="1:1" x14ac:dyDescent="0.2">
      <c r="A1032266" s="97" t="s">
        <v>168</v>
      </c>
    </row>
    <row r="1032267" spans="1:1" x14ac:dyDescent="0.2">
      <c r="A1032267" s="97" t="s">
        <v>169</v>
      </c>
    </row>
    <row r="1032268" spans="1:1" x14ac:dyDescent="0.2">
      <c r="A1032268" s="97" t="s">
        <v>170</v>
      </c>
    </row>
    <row r="1032269" spans="1:1" x14ac:dyDescent="0.2">
      <c r="A1032269" s="97" t="s">
        <v>171</v>
      </c>
    </row>
    <row r="1032270" spans="1:1" x14ac:dyDescent="0.2">
      <c r="A1032270" s="97" t="s">
        <v>172</v>
      </c>
    </row>
    <row r="1032271" spans="1:1" x14ac:dyDescent="0.2">
      <c r="A1032271" s="97" t="s">
        <v>173</v>
      </c>
    </row>
    <row r="1032272" spans="1:1" x14ac:dyDescent="0.2">
      <c r="A1032272" s="97" t="s">
        <v>174</v>
      </c>
    </row>
    <row r="1032273" spans="1:1" x14ac:dyDescent="0.2">
      <c r="A1032273" s="97" t="s">
        <v>175</v>
      </c>
    </row>
    <row r="1032274" spans="1:1" x14ac:dyDescent="0.2">
      <c r="A1032274" s="97" t="s">
        <v>176</v>
      </c>
    </row>
    <row r="1032275" spans="1:1" x14ac:dyDescent="0.2">
      <c r="A1032275" s="97" t="s">
        <v>177</v>
      </c>
    </row>
    <row r="1032276" spans="1:1" x14ac:dyDescent="0.2">
      <c r="A1032276" s="97" t="s">
        <v>178</v>
      </c>
    </row>
    <row r="1032277" spans="1:1" x14ac:dyDescent="0.2">
      <c r="A1032277" s="97" t="s">
        <v>179</v>
      </c>
    </row>
    <row r="1032278" spans="1:1" x14ac:dyDescent="0.2">
      <c r="A1032278" s="97" t="s">
        <v>180</v>
      </c>
    </row>
    <row r="1032279" spans="1:1" x14ac:dyDescent="0.2">
      <c r="A1032279" s="97" t="s">
        <v>181</v>
      </c>
    </row>
    <row r="1032280" spans="1:1" x14ac:dyDescent="0.2">
      <c r="A1032280" s="97" t="s">
        <v>182</v>
      </c>
    </row>
    <row r="1032281" spans="1:1" x14ac:dyDescent="0.2">
      <c r="A1032281" s="97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B9B396-4250-41FC-90BE-FBE05AC4B6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Sprint Summary</vt:lpstr>
      <vt:lpstr>Sprint Summary | data</vt:lpstr>
      <vt:lpstr>Calculated Stats</vt:lpstr>
      <vt:lpstr>processed | data</vt:lpstr>
      <vt:lpstr>rawdata | iteration analysis</vt:lpstr>
      <vt:lpstr>REF | sample of csv field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Tracey</dc:creator>
  <cp:lastModifiedBy>Chris Tracey</cp:lastModifiedBy>
  <dcterms:created xsi:type="dcterms:W3CDTF">2015-06-05T18:17:20Z</dcterms:created>
  <dcterms:modified xsi:type="dcterms:W3CDTF">2024-07-20T02:16:48Z</dcterms:modified>
</cp:coreProperties>
</file>