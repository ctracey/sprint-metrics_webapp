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steps/visualise-metrics/"/>
    </mc:Choice>
  </mc:AlternateContent>
  <xr:revisionPtr revIDLastSave="0" documentId="13_ncr:1_{41FB8F27-18D3-E547-BCBA-F73CBBCC9706}" xr6:coauthVersionLast="47" xr6:coauthVersionMax="47" xr10:uidLastSave="{00000000-0000-0000-0000-000000000000}"/>
  <bookViews>
    <workbookView xWindow="0" yWindow="0" windowWidth="68800" windowHeight="28800" tabRatio="783" activeTab="1" xr2:uid="{00000000-000D-0000-FFFF-FFFF00000000}"/>
  </bookViews>
  <sheets>
    <sheet name="Sprint Summary" sheetId="20" r:id="rId1"/>
    <sheet name="Sprint Summary | data" sheetId="19" r:id="rId2"/>
    <sheet name="Calculated Stats" sheetId="30" r:id="rId3"/>
    <sheet name="processed | data" sheetId="29" r:id="rId4"/>
    <sheet name="rawdata | iteration analysis" sheetId="28" r:id="rId5"/>
  </sheets>
  <externalReferences>
    <externalReference r:id="rId6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9" l="1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D36" i="30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7" i="19" l="1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J13" i="20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H11" i="20" s="1"/>
  <c r="E122" i="29"/>
  <c r="B122" i="29" s="1" a="1"/>
  <c r="B122" i="29" s="1"/>
  <c r="C111" i="30" s="1"/>
  <c r="R23" i="19" s="1"/>
  <c r="H13" i="20" s="1"/>
  <c r="E127" i="29"/>
  <c r="B127" i="29" s="1" a="1"/>
  <c r="B127" i="29" s="1"/>
  <c r="E106" i="30" s="1"/>
  <c r="T18" i="19" s="1"/>
  <c r="J8" i="20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J11" i="20" s="1"/>
  <c r="B31" i="19" l="1"/>
  <c r="B30" i="19"/>
  <c r="J53" i="19"/>
  <c r="E110" i="30"/>
  <c r="T20" i="19"/>
  <c r="J10" i="20" s="1"/>
  <c r="J43" i="19"/>
  <c r="T19" i="19"/>
  <c r="J9" i="20" s="1"/>
  <c r="J62" i="19"/>
  <c r="R19" i="19"/>
  <c r="H9" i="20" s="1"/>
  <c r="J63" i="19"/>
  <c r="J20" i="19"/>
  <c r="R18" i="19"/>
  <c r="H8" i="20" s="1"/>
  <c r="C127" i="30"/>
  <c r="J74" i="19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7" i="30" s="1"/>
  <c r="C128" i="30" s="1"/>
  <c r="J75" i="19" s="1"/>
  <c r="E38" i="29"/>
  <c r="B38" i="29" s="1" a="1"/>
  <c r="B38" i="29" s="1"/>
  <c r="E34" i="29"/>
  <c r="B34" i="29" s="1" a="1"/>
  <c r="B34" i="29" s="1"/>
  <c r="D42" i="30" s="1"/>
  <c r="E25" i="29"/>
  <c r="B25" i="29" s="1" a="1"/>
  <c r="B25" i="29" s="1"/>
  <c r="E36" i="29"/>
  <c r="B36" i="29" s="1" a="1"/>
  <c r="B36" i="29" s="1"/>
  <c r="D44" i="30" s="1"/>
  <c r="E21" i="29"/>
  <c r="B21" i="29" s="1" a="1"/>
  <c r="B21" i="29" s="1"/>
  <c r="C40" i="30" s="1"/>
  <c r="E35" i="29"/>
  <c r="B35" i="29" s="1" a="1"/>
  <c r="B35" i="29" s="1"/>
  <c r="D43" i="30" s="1"/>
  <c r="E30" i="29"/>
  <c r="B30" i="29" s="1" a="1"/>
  <c r="B30" i="29" s="1"/>
  <c r="D38" i="30" s="1"/>
  <c r="E32" i="29"/>
  <c r="B32" i="29" s="1" a="1"/>
  <c r="B32" i="29" s="1"/>
  <c r="D40" i="30" s="1"/>
  <c r="E26" i="29"/>
  <c r="B26" i="29" s="1" a="1"/>
  <c r="B26" i="29" s="1"/>
  <c r="C43" i="30" s="1"/>
  <c r="E37" i="29"/>
  <c r="B37" i="29" s="1" a="1"/>
  <c r="B37" i="29" s="1"/>
  <c r="D45" i="30" s="1"/>
  <c r="E24" i="29"/>
  <c r="B24" i="29" s="1" a="1"/>
  <c r="B24" i="29" s="1"/>
  <c r="E31" i="29"/>
  <c r="B31" i="29" s="1" a="1"/>
  <c r="B31" i="29" s="1"/>
  <c r="D39" i="30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1" i="30" s="1"/>
  <c r="E18" i="29"/>
  <c r="B18" i="29" s="1" a="1"/>
  <c r="B18" i="29" s="1"/>
  <c r="C37" i="30" s="1"/>
  <c r="C110" i="30" l="1"/>
  <c r="R20" i="19"/>
  <c r="H10" i="20" s="1"/>
  <c r="T22" i="19"/>
  <c r="J12" i="20" s="1"/>
  <c r="F110" i="30"/>
  <c r="C130" i="30"/>
  <c r="B29" i="19" s="1"/>
  <c r="J16" i="19"/>
  <c r="J31" i="19"/>
  <c r="E54" i="29"/>
  <c r="B54" i="29" s="1" a="1"/>
  <c r="B54" i="29" s="1"/>
  <c r="D67" i="30" s="1"/>
  <c r="R40" i="19" s="1"/>
  <c r="E55" i="29"/>
  <c r="B55" i="29" s="1" a="1"/>
  <c r="B55" i="29" s="1"/>
  <c r="D68" i="30" s="1"/>
  <c r="R41" i="19" s="1"/>
  <c r="E53" i="29"/>
  <c r="B53" i="29" s="1" a="1"/>
  <c r="B53" i="29" s="1"/>
  <c r="D66" i="30" s="1"/>
  <c r="R42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C98" i="30" s="1"/>
  <c r="E20" i="29"/>
  <c r="B20" i="29" s="1" a="1"/>
  <c r="B20" i="29" s="1"/>
  <c r="C39" i="30" s="1"/>
  <c r="C99" i="30" s="1"/>
  <c r="E17" i="29"/>
  <c r="B17" i="29" s="1" a="1"/>
  <c r="B17" i="29" s="1"/>
  <c r="C36" i="30" s="1"/>
  <c r="C97" i="30" s="1"/>
  <c r="U22" i="19" l="1"/>
  <c r="K12" i="20" s="1"/>
  <c r="R22" i="19"/>
  <c r="H12" i="20" s="1"/>
  <c r="D110" i="30"/>
  <c r="C131" i="30"/>
  <c r="J59" i="19" s="1"/>
  <c r="J72" i="19"/>
  <c r="C66" i="30"/>
  <c r="F109" i="30"/>
  <c r="F108" i="30"/>
  <c r="F111" i="30"/>
  <c r="F107" i="30"/>
  <c r="E94" i="30"/>
  <c r="E99" i="30" s="1"/>
  <c r="D107" i="30"/>
  <c r="C100" i="30"/>
  <c r="D100" i="30"/>
  <c r="D108" i="30"/>
  <c r="D111" i="30"/>
  <c r="D109" i="30"/>
  <c r="K60" i="19"/>
  <c r="U21" i="19" l="1"/>
  <c r="K11" i="20" s="1"/>
  <c r="S19" i="19"/>
  <c r="I9" i="20" s="1"/>
  <c r="S22" i="19"/>
  <c r="I12" i="20" s="1"/>
  <c r="U23" i="19"/>
  <c r="K13" i="20" s="1"/>
  <c r="S20" i="19"/>
  <c r="I10" i="20" s="1"/>
  <c r="U19" i="19"/>
  <c r="K9" i="20" s="1"/>
  <c r="S21" i="19"/>
  <c r="I11" i="20" s="1"/>
  <c r="S23" i="19"/>
  <c r="I13" i="20" s="1"/>
  <c r="U20" i="19"/>
  <c r="K10" i="20" s="1"/>
  <c r="F106" i="30"/>
  <c r="E97" i="30"/>
  <c r="E98" i="30"/>
  <c r="D106" i="30"/>
  <c r="B27" i="19"/>
  <c r="C29" i="19" s="1"/>
  <c r="L9" i="20"/>
  <c r="L10" i="20"/>
  <c r="U18" i="19" l="1"/>
  <c r="K8" i="20" s="1"/>
  <c r="S18" i="19"/>
  <c r="I8" i="20" s="1"/>
  <c r="E100" i="30"/>
  <c r="C30" i="19"/>
  <c r="C31" i="19"/>
  <c r="R38" i="19" l="1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<sst xmlns="http://schemas.openxmlformats.org/spreadsheetml/2006/main" count="283" uniqueCount="158">
  <si>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</si>
  <si>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</si>
  <si>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</si>
  <si>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</si>
  <si>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</si>
  <si>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</si>
  <si>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</si>
  <si>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</si>
  <si>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</si>
  <si>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</si>
  <si>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</si>
  <si>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</si>
  <si>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</si>
  <si>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</si>
  <si>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</si>
  <si>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</si>
  <si>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</si>
  <si>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</si>
  <si>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</si>
  <si>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</si>
  <si>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</si>
  <si>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</si>
  <si>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</si>
  <si>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</si>
  <si>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</si>
  <si>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</si>
  <si>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</si>
  <si>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</si>
  <si>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</si>
  <si>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</si>
  <si>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</si>
  <si>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</si>
  <si>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</si>
  <si>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</si>
  <si>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</si>
  <si>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</si>
  <si>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</si>
  <si>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</si>
  <si>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</si>
  <si>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</si>
  <si>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</si>
  <si>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</si>
  <si>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</si>
  <si>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</si>
  <si>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</si>
  <si>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</si>
  <si>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</si>
  <si>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</si>
  <si>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</si>
  <si>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</si>
  <si>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</si>
  <si>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</si>
  <si>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</si>
  <si>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</si>
  <si>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</si>
  <si>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</si>
  <si>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</si>
  <si>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</si>
  <si>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</si>
  <si>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</si>
  <si>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</si>
  <si>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</si>
  <si>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</si>
  <si>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</si>
  <si>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</si>
  <si>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</si>
  <si>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</si>
  <si>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</si>
  <si>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</si>
  <si>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</si>
  <si>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</si>
  <si>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</si>
  <si>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</si>
  <si>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</si>
  <si>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</si>
  <si>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</si>
  <si>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</si>
  <si>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</si>
  <si>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</si>
  <si>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</si>
  <si>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</si>
  <si>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</si>
  <si>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</si>
  <si>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</si>
  <si>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</si>
  <si>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</si>
  <si>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</si>
  <si>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</si>
  <si>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</si>
  <si>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</si>
  <si>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</si>
  <si>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</si>
  <si>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</si>
  <si>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</si>
  <si>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</si>
  <si>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</si>
  <si>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</si>
  <si>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</si>
  <si>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</si>
  <si>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</si>
  <si>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</si>
  <si>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</si>
  <si>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</si>
  <si>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</si>
  <si>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</si>
  <si>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</si>
  <si>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</si>
  <si>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</si>
  <si>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</si>
  <si>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</si>
  <si>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</si>
  <si>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</si>
  <si>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</si>
  <si>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</si>
  <si>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</si>
  <si>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</si>
  <si>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</si>
  <si>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</si>
  <si>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</si>
  <si>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</si>
  <si>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</si>
  <si>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</si>
  <si>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</si>
  <si>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</si>
  <si>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</si>
  <si>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</si>
  <si>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</si>
  <si>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</si>
  <si>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</si>
  <si>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</si>
  <si>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</si>
  <si>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</si>
  <si>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</si>
  <si>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</si>
  <si>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</si>
  <si>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</si>
  <si>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</si>
  <si>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</si>
  <si>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</si>
  <si>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</si>
  <si>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</si>
  <si>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</si>
  <si>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</si>
  <si>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</si>
  <si>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</si>
  <si>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</si>
  <si>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</si>
  <si>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</si>
  <si>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</si>
  <si>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</si>
  <si>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</si>
  <si>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</si>
  <si>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</si>
  <si>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Project1</t>
  </si>
  <si>
    <t>Project2</t>
  </si>
  <si>
    <t>StreamA</t>
  </si>
  <si>
    <t>StreamB</t>
  </si>
  <si>
    <t>StreamC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</si>
</sst>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3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Input" xfId="1" builtinId="20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Project1</c:v>
                </c:pt>
                <c:pt idx="2">
                  <c:v>Project2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StreamA</c:v>
                </c:pt>
                <c:pt idx="1">
                  <c:v>StreamB</c:v>
                </c:pt>
                <c:pt idx="2">
                  <c:v>StreamC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chart" Target="../charts/chart7.xml"/><Relationship Id="rId5" Type="http://schemas.openxmlformats.org/officeDocument/2006/relationships/chart" Target="../charts/chart5.xml"/><Relationship Id="rId10" Type="http://schemas.openxmlformats.org/officeDocument/2006/relationships/chart" Target="../charts/chart6.xml"/><Relationship Id="rId4" Type="http://schemas.openxmlformats.org/officeDocument/2006/relationships/chart" Target="../charts/chart4.xml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#REF!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5B068DF-ADDA-448C-9145-DA3574541357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Architecture &amp; Engineering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70464" y="2462810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45064" y="5552222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41888" y="8426314"/>
          <a:ext cx="3241673" cy="753506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46139" y="2472335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62014" y="5571272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62502" y="6133247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71002" y="5549047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03288" y="8454889"/>
          <a:ext cx="3593211" cy="774370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33437" y="11311194"/>
          <a:ext cx="3609086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60438" y="8882415"/>
          <a:ext cx="4409188" cy="2028924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53631" y="11276269"/>
          <a:ext cx="6404861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73253" y="2466352"/>
          <a:ext cx="1939949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12067" y="2467083"/>
          <a:ext cx="2476785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51996" y="976954"/>
          <a:ext cx="2703417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01287" y="1867348"/>
          <a:ext cx="7156934" cy="3283486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1644525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331304</xdr:colOff>
      <xdr:row>2</xdr:row>
      <xdr:rowOff>1207881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41995" y="13145939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76843" y="13373356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76843" y="13730543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Project1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3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43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76843" y="14091228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Project2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4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57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08116" y="13479963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42964" y="13707380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42964" y="14064567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98089" y="13114281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32937" y="13341698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StreamA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32937" y="13698885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StreamB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32937" y="14059570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StreamC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50724" y="3429553"/>
          <a:ext cx="4297827" cy="4272177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69143" y="3426073"/>
          <a:ext cx="3735039" cy="4327712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</xdr:col>
      <xdr:colOff>244230</xdr:colOff>
      <xdr:row>3</xdr:row>
      <xdr:rowOff>789678</xdr:rowOff>
    </xdr:from>
    <xdr:to>
      <xdr:col>2</xdr:col>
      <xdr:colOff>6773334</xdr:colOff>
      <xdr:row>3</xdr:row>
      <xdr:rowOff>2862443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F2BCBAB1-65A8-312B-943B-566EE44568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7678" r="4778"/>
        <a:stretch/>
      </xdr:blipFill>
      <xdr:spPr>
        <a:xfrm>
          <a:off x="1033909" y="3199422"/>
          <a:ext cx="6529104" cy="2072765"/>
        </a:xfrm>
        <a:prstGeom prst="rect">
          <a:avLst/>
        </a:prstGeom>
      </xdr:spPr>
    </xdr:pic>
    <xdr:clientData/>
  </xdr:twoCellAnchor>
  <xdr:twoCellAnchor editAs="oneCell">
    <xdr:from>
      <xdr:col>2</xdr:col>
      <xdr:colOff>529166</xdr:colOff>
      <xdr:row>4</xdr:row>
      <xdr:rowOff>838787</xdr:rowOff>
    </xdr:from>
    <xdr:to>
      <xdr:col>2</xdr:col>
      <xdr:colOff>6567527</xdr:colOff>
      <xdr:row>4</xdr:row>
      <xdr:rowOff>2682390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611F218B-C805-B3BE-681A-5C3EB1940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8845" y="6333979"/>
          <a:ext cx="6038361" cy="1843603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M16"/>
  <sheetViews>
    <sheetView zoomScale="93" zoomScaleNormal="70" workbookViewId="0">
      <selection activeCell="O4" sqref="O4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3" ht="42.5" customHeight="1" x14ac:dyDescent="0.2"/>
    <row r="2" spans="2:1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3" ht="137" customHeight="1" thickBot="1" x14ac:dyDescent="0.25">
      <c r="B3" s="31"/>
      <c r="C3" s="110"/>
      <c r="D3" s="111"/>
      <c r="E3" s="111"/>
      <c r="F3" s="111"/>
      <c r="G3" s="111"/>
      <c r="H3" s="111"/>
      <c r="I3" s="111"/>
      <c r="J3" s="111"/>
      <c r="K3" s="111"/>
      <c r="L3" s="111"/>
      <c r="M3" s="36"/>
    </row>
    <row r="4" spans="2:13" ht="243.5" customHeight="1" thickBot="1" x14ac:dyDescent="0.25">
      <c r="B4" s="31"/>
      <c r="C4" s="29"/>
      <c r="D4" s="117"/>
      <c r="E4" s="118"/>
      <c r="F4" s="124"/>
      <c r="G4" s="124"/>
      <c r="H4" s="124"/>
      <c r="I4" s="125"/>
      <c r="J4" s="123"/>
      <c r="K4" s="124"/>
      <c r="L4" s="125"/>
      <c r="M4" s="31"/>
    </row>
    <row r="5" spans="2:13" ht="226.5" customHeight="1" thickBot="1" x14ac:dyDescent="0.25">
      <c r="B5" s="31"/>
      <c r="C5" s="30"/>
      <c r="D5" s="48"/>
      <c r="E5" s="49"/>
      <c r="F5" s="112"/>
      <c r="G5" s="113"/>
      <c r="H5" s="113"/>
      <c r="I5" s="114"/>
      <c r="J5" s="112"/>
      <c r="K5" s="113"/>
      <c r="L5" s="114"/>
      <c r="M5" s="31"/>
    </row>
    <row r="6" spans="2:13" ht="26.5" customHeight="1" x14ac:dyDescent="0.2">
      <c r="B6" s="31"/>
      <c r="C6" s="115"/>
      <c r="D6" s="119"/>
      <c r="E6" s="120"/>
      <c r="F6" s="35"/>
      <c r="G6" s="37"/>
      <c r="H6" s="38"/>
      <c r="I6" s="38"/>
      <c r="J6" s="38"/>
      <c r="K6" s="38"/>
      <c r="L6" s="39"/>
      <c r="M6" s="31"/>
    </row>
    <row r="7" spans="2:13" ht="27.5" customHeight="1" x14ac:dyDescent="0.2">
      <c r="B7" s="31"/>
      <c r="C7" s="116"/>
      <c r="D7" s="110"/>
      <c r="E7" s="111"/>
      <c r="F7" s="34"/>
      <c r="G7" s="44"/>
      <c r="H7" s="126" t="s">
        <v>60</v>
      </c>
      <c r="I7" s="126"/>
      <c r="J7" s="126" t="s">
        <v>61</v>
      </c>
      <c r="K7" s="126"/>
      <c r="L7" s="40"/>
      <c r="M7" s="31"/>
    </row>
    <row r="8" spans="2:13" ht="22" customHeight="1" x14ac:dyDescent="0.2">
      <c r="B8" s="31"/>
      <c r="C8" s="116"/>
      <c r="D8" s="110"/>
      <c r="E8" s="111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3" ht="22" customHeight="1" x14ac:dyDescent="0.2">
      <c r="B9" s="31"/>
      <c r="C9" s="116"/>
      <c r="D9" s="110"/>
      <c r="E9" s="111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3" ht="22" customHeight="1" x14ac:dyDescent="0.2">
      <c r="B10" s="31"/>
      <c r="C10" s="116"/>
      <c r="D10" s="110"/>
      <c r="E10" s="111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3" ht="22" customHeight="1" x14ac:dyDescent="0.2">
      <c r="B11" s="31"/>
      <c r="C11" s="116"/>
      <c r="D11" s="110"/>
      <c r="E11" s="111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3" ht="22" customHeight="1" x14ac:dyDescent="0.2">
      <c r="B12" s="31"/>
      <c r="C12" s="116"/>
      <c r="D12" s="110"/>
      <c r="E12" s="111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3" ht="22" customHeight="1" x14ac:dyDescent="0.2">
      <c r="B13" s="31"/>
      <c r="C13" s="116"/>
      <c r="D13" s="110"/>
      <c r="E13" s="111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3" ht="42.5" customHeight="1" thickBot="1" x14ac:dyDescent="0.25">
      <c r="B14" s="31"/>
      <c r="C14" s="116"/>
      <c r="D14" s="121"/>
      <c r="E14" s="122"/>
      <c r="F14" s="33"/>
      <c r="G14" s="41"/>
      <c r="H14" s="42"/>
      <c r="I14" s="42"/>
      <c r="J14" s="42"/>
      <c r="K14" s="42"/>
      <c r="L14" s="43"/>
      <c r="M14" s="31"/>
    </row>
    <row r="15" spans="2:13" ht="264.5" customHeight="1" thickBot="1" x14ac:dyDescent="0.25">
      <c r="B15" s="31"/>
      <c r="C15" s="116"/>
      <c r="D15" s="117"/>
      <c r="E15" s="118"/>
      <c r="F15" s="112"/>
      <c r="G15" s="113"/>
      <c r="H15" s="113"/>
      <c r="I15" s="113"/>
      <c r="J15" s="113"/>
      <c r="K15" s="113"/>
      <c r="L15" s="114"/>
      <c r="M15" s="36"/>
    </row>
    <row r="16" spans="2:13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tabSelected="1" workbookViewId="0">
      <selection activeCell="AC56" sqref="AC56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/>
      <c r="B5" s="4"/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7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>
        <f>ROUND(B29/B$27*100,0)</f>
        <v>0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Project1</v>
      </c>
      <c r="B30" s="54">
        <f>MATCH(A30, 'Calculated Stats'!B$36:B$45, 0)</f>
        <v>3</v>
      </c>
      <c r="C30" s="54">
        <f t="shared" ref="C30:C31" si="0">ROUND(B30/B$27*100,0)</f>
        <v>43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Project2</v>
      </c>
      <c r="B31" s="54">
        <f>MATCH(A31, 'Calculated Stats'!B$36:B$45, 0)</f>
        <v>4</v>
      </c>
      <c r="C31" s="54">
        <f t="shared" si="0"/>
        <v>57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StreamA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StreamB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StreamC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15" zoomScaleNormal="115" workbookViewId="0">
      <selection activeCell="C11" sqref="C11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bestFit="1" customWidth="1"/>
    <col min="6" max="6" width="19.6640625" bestFit="1" customWidth="1"/>
    <col min="7" max="7" width="5" bestFit="1" customWidth="1"/>
    <col min="8" max="8" width="6.33203125" style="105" bestFit="1" customWidth="1"/>
    <col min="9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27" t="s">
        <v>133</v>
      </c>
      <c r="C6" s="128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155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156</v>
      </c>
      <c r="D9" s="105"/>
      <c r="E9" s="105"/>
      <c r="F9" s="106"/>
      <c r="G9" s="105"/>
    </row>
    <row r="10" spans="2:7" x14ac:dyDescent="0.2">
      <c r="B10" s="76" t="s">
        <v>153</v>
      </c>
      <c r="C10" s="79" t="s">
        <v>157</v>
      </c>
      <c r="D10" s="105"/>
      <c r="E10" s="105"/>
      <c r="F10" s="106"/>
      <c r="G10" s="105"/>
    </row>
    <row r="11" spans="2:7" x14ac:dyDescent="0.2">
      <c r="B11" s="76" t="s">
        <v>154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27" t="s">
        <v>135</v>
      </c>
      <c r="C32" s="128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2" t="s">
        <v>5</v>
      </c>
      <c r="D34" s="132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data'!B28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data'!B29</f>
        <v>0</v>
      </c>
      <c r="E37" s="105"/>
      <c r="F37" s="105"/>
      <c r="G37" s="105"/>
      <c r="N37" s="107"/>
    </row>
    <row r="38" spans="2:14" x14ac:dyDescent="0.2">
      <c r="B38" s="82" t="str">
        <f t="shared" si="0"/>
        <v>Project1</v>
      </c>
      <c r="C38" s="4">
        <f>'processed | data'!B19</f>
        <v>0</v>
      </c>
      <c r="D38" s="4">
        <f>'processed | data'!B30</f>
        <v>0</v>
      </c>
      <c r="E38" s="105"/>
      <c r="F38" s="105"/>
      <c r="G38" s="105"/>
      <c r="N38" s="107"/>
    </row>
    <row r="39" spans="2:14" x14ac:dyDescent="0.2">
      <c r="B39" s="82" t="str">
        <f t="shared" si="0"/>
        <v>Project2</v>
      </c>
      <c r="C39" s="4">
        <f>'processed | data'!B20</f>
        <v>0</v>
      </c>
      <c r="D39" s="4">
        <f>'processed | data'!B31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data'!B32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data'!B33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data'!B34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data'!B35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data'!B36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data'!B37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2" t="s">
        <v>83</v>
      </c>
      <c r="D49" s="132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Project1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Project2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33" t="s">
        <v>5</v>
      </c>
      <c r="D64" s="133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StreamA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StreamB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StreamC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33" t="s">
        <v>83</v>
      </c>
      <c r="D79" s="133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StreamA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StreamB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StreamC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SUM(D36:D37)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D38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D39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29" t="s">
        <v>6</v>
      </c>
      <c r="D104" s="130"/>
      <c r="E104" s="129" t="s">
        <v>8</v>
      </c>
      <c r="F104" s="131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D$36:D$45,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D$36:D$45,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7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7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7" x14ac:dyDescent="0.2">
      <c r="B147" s="6"/>
      <c r="C147" s="6"/>
      <c r="D147" s="6"/>
      <c r="E147" s="105"/>
      <c r="F147" s="105"/>
      <c r="G147" s="105"/>
    </row>
    <row r="148" spans="2:7" x14ac:dyDescent="0.2">
      <c r="B148" s="105"/>
      <c r="C148" s="105"/>
      <c r="D148" s="105"/>
      <c r="E148" s="105"/>
      <c r="F148" s="105"/>
      <c r="G148" s="105"/>
    </row>
    <row r="149" spans="2:7" x14ac:dyDescent="0.2">
      <c r="B149" s="105"/>
      <c r="C149" s="105"/>
      <c r="D149" s="105"/>
      <c r="E149" s="105"/>
      <c r="F149" s="105"/>
      <c r="G149" s="105"/>
    </row>
    <row r="150" spans="2:7" x14ac:dyDescent="0.2">
      <c r="B150" s="105"/>
      <c r="C150" s="105"/>
      <c r="D150" s="105"/>
      <c r="E150" s="105"/>
      <c r="F150" s="105"/>
      <c r="G150" s="105"/>
    </row>
    <row r="151" spans="2:7" x14ac:dyDescent="0.2">
      <c r="B151" s="105"/>
      <c r="C151" s="105"/>
      <c r="D151" s="105"/>
      <c r="E151" s="105"/>
      <c r="F151" s="105"/>
      <c r="G151" s="105"/>
    </row>
    <row r="152" spans="2:7" x14ac:dyDescent="0.2">
      <c r="B152" s="105"/>
      <c r="C152" s="105"/>
      <c r="D152" s="105"/>
      <c r="E152" s="105"/>
      <c r="F152" s="105"/>
      <c r="G152" s="105"/>
    </row>
    <row r="153" spans="2:7" x14ac:dyDescent="0.2">
      <c r="B153" s="105"/>
      <c r="C153" s="105"/>
      <c r="D153" s="105"/>
      <c r="E153" s="105"/>
      <c r="F153" s="105"/>
      <c r="G153" s="105"/>
    </row>
    <row r="154" spans="2:7" x14ac:dyDescent="0.2">
      <c r="B154" s="105"/>
      <c r="C154" s="105"/>
      <c r="D154" s="105"/>
      <c r="E154" s="105"/>
      <c r="F154" s="105"/>
      <c r="G154" s="105"/>
    </row>
    <row r="155" spans="2:7" x14ac:dyDescent="0.2">
      <c r="B155" s="105"/>
      <c r="C155" s="105"/>
      <c r="D155" s="105"/>
      <c r="E155" s="105"/>
      <c r="F155" s="105"/>
      <c r="G155" s="105"/>
    </row>
    <row r="156" spans="2:7" x14ac:dyDescent="0.2">
      <c r="B156" s="105"/>
      <c r="C156" s="105"/>
      <c r="D156" s="105"/>
      <c r="E156" s="105"/>
      <c r="F156" s="105"/>
      <c r="G156" s="105"/>
    </row>
    <row r="157" spans="2:7" x14ac:dyDescent="0.2">
      <c r="B157" s="105"/>
      <c r="C157" s="105"/>
      <c r="D157" s="105"/>
      <c r="E157" s="105"/>
      <c r="F157" s="105"/>
      <c r="G157" s="105"/>
    </row>
    <row r="158" spans="2:7" x14ac:dyDescent="0.2">
      <c r="B158" s="105"/>
      <c r="C158" s="105"/>
      <c r="D158" s="105"/>
      <c r="E158" s="105"/>
      <c r="F158" s="105"/>
      <c r="G158" s="105"/>
    </row>
    <row r="159" spans="2:7" x14ac:dyDescent="0.2">
      <c r="B159" s="105"/>
      <c r="C159" s="105"/>
      <c r="D159" s="105"/>
      <c r="E159" s="105"/>
      <c r="F159" s="105"/>
      <c r="G159" s="105"/>
    </row>
    <row r="160" spans="2:7" x14ac:dyDescent="0.2">
      <c r="B160" s="105"/>
      <c r="C160" s="105"/>
      <c r="D160" s="105"/>
      <c r="E160" s="105"/>
      <c r="F160" s="105"/>
      <c r="G160" s="105"/>
    </row>
    <row r="161" spans="2:7" x14ac:dyDescent="0.2">
      <c r="B161" s="105"/>
      <c r="C161" s="105"/>
      <c r="D161" s="105"/>
      <c r="E161" s="105"/>
      <c r="F161" s="105"/>
      <c r="G161" s="105"/>
    </row>
    <row r="162" spans="2:7" x14ac:dyDescent="0.2">
      <c r="B162" s="105"/>
      <c r="C162" s="105"/>
      <c r="D162" s="105"/>
      <c r="E162" s="105"/>
      <c r="F162" s="105"/>
      <c r="G162" s="105"/>
    </row>
    <row r="163" spans="2:7" x14ac:dyDescent="0.2">
      <c r="B163" s="105"/>
      <c r="C163" s="105"/>
      <c r="D163" s="105"/>
      <c r="E163" s="105"/>
      <c r="F163" s="105"/>
      <c r="G163" s="105"/>
    </row>
    <row r="164" spans="2:7" x14ac:dyDescent="0.2">
      <c r="B164" s="105"/>
      <c r="C164" s="105"/>
      <c r="D164" s="105"/>
      <c r="E164" s="105"/>
      <c r="F164" s="105"/>
      <c r="G164" s="105"/>
    </row>
    <row r="165" spans="2:7" x14ac:dyDescent="0.2">
      <c r="B165" s="105"/>
      <c r="C165" s="105"/>
      <c r="D165" s="105"/>
      <c r="E165" s="105"/>
      <c r="F165" s="105"/>
      <c r="G165" s="105"/>
    </row>
    <row r="166" spans="2:7" x14ac:dyDescent="0.2">
      <c r="B166" s="105"/>
      <c r="C166" s="105"/>
      <c r="D166" s="105"/>
      <c r="E166" s="105"/>
      <c r="F166" s="105"/>
      <c r="G166" s="105"/>
    </row>
    <row r="167" spans="2:7" x14ac:dyDescent="0.2">
      <c r="B167" s="105"/>
      <c r="C167" s="105"/>
      <c r="D167" s="105"/>
      <c r="E167" s="105"/>
      <c r="F167" s="105"/>
      <c r="G167" s="105"/>
    </row>
    <row r="168" spans="2:7" x14ac:dyDescent="0.2">
      <c r="B168" s="105"/>
      <c r="C168" s="105"/>
      <c r="D168" s="105"/>
      <c r="E168" s="105"/>
      <c r="F168" s="105"/>
      <c r="G168" s="105"/>
    </row>
    <row r="169" spans="2:7" x14ac:dyDescent="0.2">
      <c r="B169" s="105"/>
      <c r="C169" s="105"/>
      <c r="D169" s="105"/>
      <c r="E169" s="105"/>
      <c r="F169" s="105"/>
      <c r="G169" s="105"/>
    </row>
    <row r="170" spans="2:7" x14ac:dyDescent="0.2">
      <c r="B170" s="105"/>
      <c r="C170" s="105"/>
      <c r="D170" s="105"/>
      <c r="E170" s="105"/>
      <c r="F170" s="105"/>
      <c r="G170" s="105"/>
    </row>
    <row r="171" spans="2:7" x14ac:dyDescent="0.2">
      <c r="B171" s="105"/>
      <c r="C171" s="105"/>
      <c r="D171" s="105"/>
      <c r="E171" s="105"/>
      <c r="F171" s="105"/>
      <c r="G171" s="105"/>
    </row>
    <row r="172" spans="2:7" x14ac:dyDescent="0.2">
      <c r="B172" s="105"/>
      <c r="C172" s="105"/>
      <c r="D172" s="105"/>
      <c r="E172" s="105"/>
      <c r="F172" s="105"/>
      <c r="G172" s="105"/>
    </row>
    <row r="173" spans="2:7" x14ac:dyDescent="0.2">
      <c r="B173" s="105"/>
      <c r="C173" s="105"/>
      <c r="D173" s="105"/>
      <c r="E173" s="105"/>
      <c r="F173" s="105"/>
      <c r="G173" s="105"/>
    </row>
    <row r="174" spans="2:7" x14ac:dyDescent="0.2">
      <c r="B174" s="105"/>
      <c r="C174" s="105"/>
      <c r="D174" s="105"/>
      <c r="E174" s="105"/>
      <c r="F174" s="105"/>
      <c r="G174" s="105"/>
    </row>
    <row r="175" spans="2:7" x14ac:dyDescent="0.2">
      <c r="B175" s="105"/>
      <c r="C175" s="105"/>
      <c r="D175" s="105"/>
      <c r="E175" s="105"/>
      <c r="F175" s="105"/>
      <c r="G175" s="105"/>
    </row>
    <row r="176" spans="2:7" x14ac:dyDescent="0.2">
      <c r="B176" s="105"/>
      <c r="C176" s="105"/>
      <c r="D176" s="105"/>
      <c r="E176" s="105"/>
      <c r="F176" s="105"/>
      <c r="G176" s="105"/>
    </row>
    <row r="177" spans="2:7" x14ac:dyDescent="0.2">
      <c r="B177" s="105"/>
      <c r="C177" s="105"/>
      <c r="D177" s="105"/>
      <c r="E177" s="105"/>
      <c r="F177" s="105"/>
      <c r="G177" s="105"/>
    </row>
    <row r="178" spans="2:7" x14ac:dyDescent="0.2">
      <c r="B178" s="105"/>
      <c r="C178" s="105"/>
      <c r="D178" s="105"/>
      <c r="E178" s="105"/>
      <c r="F178" s="105"/>
      <c r="G178" s="105"/>
    </row>
    <row r="179" spans="2:7" x14ac:dyDescent="0.2">
      <c r="B179" s="105"/>
      <c r="C179" s="105"/>
      <c r="D179" s="105"/>
      <c r="E179" s="105"/>
      <c r="F179" s="105"/>
      <c r="G179" s="105"/>
    </row>
    <row r="180" spans="2:7" x14ac:dyDescent="0.2">
      <c r="B180" s="105"/>
      <c r="C180" s="105"/>
      <c r="D180" s="105"/>
      <c r="E180" s="105"/>
      <c r="F180" s="105"/>
      <c r="G180" s="105"/>
    </row>
    <row r="181" spans="2:7" x14ac:dyDescent="0.2">
      <c r="B181" s="105"/>
      <c r="C181" s="105"/>
      <c r="D181" s="105"/>
      <c r="E181" s="105"/>
      <c r="F181" s="105"/>
      <c r="G181" s="105"/>
    </row>
    <row r="182" spans="2:7" x14ac:dyDescent="0.2">
      <c r="B182" s="105"/>
      <c r="C182" s="105"/>
      <c r="D182" s="105"/>
      <c r="E182" s="105"/>
      <c r="F182" s="105"/>
      <c r="G182" s="105"/>
    </row>
    <row r="183" spans="2:7" x14ac:dyDescent="0.2">
      <c r="B183" s="105"/>
      <c r="C183" s="105"/>
      <c r="D183" s="105"/>
      <c r="E183" s="105"/>
      <c r="F183" s="105"/>
      <c r="G183" s="105"/>
    </row>
    <row r="184" spans="2:7" x14ac:dyDescent="0.2">
      <c r="B184" s="105"/>
      <c r="C184" s="105"/>
      <c r="D184" s="105"/>
      <c r="E184" s="105"/>
      <c r="F184" s="105"/>
      <c r="G184" s="105"/>
    </row>
    <row r="185" spans="2:7" x14ac:dyDescent="0.2">
      <c r="B185" s="105"/>
      <c r="C185" s="105"/>
      <c r="D185" s="105"/>
      <c r="E185" s="105"/>
      <c r="F185" s="105"/>
      <c r="G185" s="105"/>
    </row>
    <row r="186" spans="2:7" x14ac:dyDescent="0.2">
      <c r="B186" s="105"/>
      <c r="C186" s="105"/>
      <c r="D186" s="105"/>
      <c r="E186" s="105"/>
      <c r="F186" s="105"/>
      <c r="G186" s="105"/>
    </row>
    <row r="187" spans="2:7" x14ac:dyDescent="0.2">
      <c r="B187" s="105"/>
      <c r="C187" s="105"/>
      <c r="D187" s="105"/>
      <c r="E187" s="105"/>
      <c r="F187" s="105"/>
      <c r="G187" s="105"/>
    </row>
    <row r="188" spans="2:7" x14ac:dyDescent="0.2">
      <c r="B188" s="105"/>
      <c r="C188" s="105"/>
      <c r="D188" s="105"/>
      <c r="E188" s="105"/>
      <c r="F188" s="105"/>
      <c r="G188" s="105"/>
    </row>
    <row r="189" spans="2:7" x14ac:dyDescent="0.2">
      <c r="B189" s="105"/>
      <c r="C189" s="105"/>
      <c r="D189" s="105"/>
      <c r="E189" s="105"/>
      <c r="F189" s="105"/>
      <c r="G189" s="105"/>
    </row>
    <row r="190" spans="2:7" x14ac:dyDescent="0.2">
      <c r="B190" s="105"/>
      <c r="C190" s="105"/>
      <c r="D190" s="105"/>
      <c r="E190" s="105"/>
      <c r="F190" s="105"/>
      <c r="G190" s="105"/>
    </row>
    <row r="191" spans="2:7" x14ac:dyDescent="0.2">
      <c r="B191" s="105"/>
      <c r="C191" s="105"/>
      <c r="D191" s="105"/>
      <c r="E191" s="105"/>
      <c r="F191" s="105"/>
      <c r="G191" s="105"/>
    </row>
    <row r="192" spans="2:7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43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Project1</v>
      </c>
      <c r="B19" s="53" cm="1">
        <f t="array" ref="B19">IFERROR(INDEX('rawdata | iteration analysis'!$2:$2, E19), 0)</f>
        <v>0</v>
      </c>
      <c r="D19" s="68" t="str">
        <f>_xlfn.CONCAT("labels_", A19,"_",D$15)</f>
        <v>labels_Project1_storyPoints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Project2</v>
      </c>
      <c r="B20" s="53" cm="1">
        <f t="array" ref="B20">IFERROR(INDEX('rawdata | iteration analysis'!$2:$2, E20), 0)</f>
        <v>0</v>
      </c>
      <c r="D20" s="68" t="str">
        <f>_xlfn.CONCAT("labels_", A20, "_",D$15)</f>
        <v>labels_Project2_storyPoints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Project1</v>
      </c>
      <c r="B31" s="53" cm="1">
        <f t="array" ref="B31">IFERROR(INDEX('rawdata | iteration analysis'!$2:$2, E31), 0)</f>
        <v>0</v>
      </c>
      <c r="D31" s="68" t="str">
        <f t="shared" si="0"/>
        <v>completedLabels_Project1_storyPoints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Project2</v>
      </c>
      <c r="B32" s="53" cm="1">
        <f t="array" ref="B32">IFERROR(INDEX('rawdata | iteration analysis'!$2:$2, E32), 0)</f>
        <v>0</v>
      </c>
      <c r="D32" s="68" t="str">
        <f t="shared" si="0"/>
        <v>completedLabels_Project2_storyPoints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StreamA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components_StreamA_storyPoints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StreamB</v>
      </c>
      <c r="B42" s="88" cm="1">
        <f t="array" ref="B42">IFERROR(INDEX('rawdata | iteration analysis'!$2:$2, E42), 0)</f>
        <v>0</v>
      </c>
      <c r="D42" s="68" t="str">
        <f t="shared" si="1"/>
        <v>components_StreamB_storyPoints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StreamC</v>
      </c>
      <c r="B43" s="88" cm="1">
        <f t="array" ref="B43">IFERROR(INDEX('rawdata | iteration analysis'!$2:$2, E43), 0)</f>
        <v>0</v>
      </c>
      <c r="D43" s="68" t="str">
        <f t="shared" si="1"/>
        <v>components_StreamC_storyPoints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StreamA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completedComponents_StreamA_storyPoints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StreamB</v>
      </c>
      <c r="B54" s="88" cm="1">
        <f t="array" ref="B54">IFERROR(INDEX('rawdata | iteration analysis'!$2:$2, E54), 0)</f>
        <v>0</v>
      </c>
      <c r="D54" s="68" t="str">
        <f t="shared" si="2"/>
        <v>completedComponents_StreamB_storyPoints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StreamC</v>
      </c>
      <c r="B55" s="88" cm="1">
        <f t="array" ref="B55">IFERROR(INDEX('rawdata | iteration analysis'!$2:$2, E55), 0)</f>
        <v>0</v>
      </c>
      <c r="D55" s="68" t="str">
        <f t="shared" si="2"/>
        <v>completedComponents_StreamC_storyPoints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Project1</v>
      </c>
      <c r="B70" s="53" cm="1">
        <f t="array" ref="B70">IFERROR(INDEX('rawdata | iteration analysis'!$2:$2, E70), 0)</f>
        <v>0</v>
      </c>
      <c r="D70" s="68" t="str">
        <f>_xlfn.CONCAT("labels_", A70,"_",D$66)</f>
        <v>labels_Project1_count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Project2</v>
      </c>
      <c r="B71" s="53" cm="1">
        <f t="array" ref="B71">IFERROR(INDEX('rawdata | iteration analysis'!$2:$2, E71), 0)</f>
        <v>0</v>
      </c>
      <c r="D71" s="68" t="str">
        <f>_xlfn.CONCAT("labels_", A71, "_",D$66)</f>
        <v>labels_Project2_count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Project1</v>
      </c>
      <c r="B82" s="53" cm="1">
        <f t="array" ref="B82">IFERROR(INDEX('rawdata | iteration analysis'!$2:$2, E82), 0)</f>
        <v>0</v>
      </c>
      <c r="D82" s="68" t="str">
        <f t="shared" si="3"/>
        <v>completedLabels_Project1_count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Project2</v>
      </c>
      <c r="B83" s="53" cm="1">
        <f t="array" ref="B83">IFERROR(INDEX('rawdata | iteration analysis'!$2:$2, E83), 0)</f>
        <v>0</v>
      </c>
      <c r="D83" s="68" t="str">
        <f t="shared" si="3"/>
        <v>completedLabels_Project2_count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StreamA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components_StreamA_count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StreamB</v>
      </c>
      <c r="B93" s="88" cm="1">
        <f t="array" ref="B93">IFERROR(INDEX('rawdata | iteration analysis'!$2:$2, E93), 0)</f>
        <v>0</v>
      </c>
      <c r="D93" s="68" t="str">
        <f t="shared" si="4"/>
        <v>components_StreamB_count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StreamC</v>
      </c>
      <c r="B94" s="88" cm="1">
        <f t="array" ref="B94">IFERROR(INDEX('rawdata | iteration analysis'!$2:$2, E94), 0)</f>
        <v>0</v>
      </c>
      <c r="D94" s="68" t="str">
        <f t="shared" si="4"/>
        <v>components_StreamC_count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StreamA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completedComponents_StreamA_count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StreamB</v>
      </c>
      <c r="B105" s="88" cm="1">
        <f t="array" ref="B105">IFERROR(INDEX('rawdata | iteration analysis'!$2:$2, E105), 0)</f>
        <v>0</v>
      </c>
      <c r="D105" s="68" t="str">
        <f t="shared" si="5"/>
        <v>completedComponents_StreamB_count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StreamC</v>
      </c>
      <c r="B106" s="88" cm="1">
        <f t="array" ref="B106">IFERROR(INDEX('rawdata | iteration analysis'!$2:$2, E106), 0)</f>
        <v>0</v>
      </c>
      <c r="D106" s="68" t="str">
        <f t="shared" si="5"/>
        <v>completedComponents_StreamC_count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5" x14ac:dyDescent="0.2">
      <c r="A161" s="13" t="s">
        <v>65</v>
      </c>
      <c r="B161" s="89"/>
      <c r="D161" s="92" t="s">
        <v>121</v>
      </c>
      <c r="E161" s="92" t="s">
        <v>122</v>
      </c>
    </row>
    <row r="162" spans="1:5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5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5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5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5" x14ac:dyDescent="0.2">
      <c r="A166" s="6"/>
      <c r="B166" s="58"/>
    </row>
    <row r="167" spans="1:5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5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5" x14ac:dyDescent="0.2">
      <c r="D169" s="93"/>
      <c r="E169" s="93"/>
    </row>
    <row r="170" spans="1:5" x14ac:dyDescent="0.2">
      <c r="D170" s="93"/>
      <c r="E170" s="93"/>
    </row>
    <row r="171" spans="1:5" x14ac:dyDescent="0.2">
      <c r="D171" s="93"/>
      <c r="E171" s="93"/>
    </row>
    <row r="172" spans="1:5" x14ac:dyDescent="0.2">
      <c r="D172" s="93"/>
      <c r="E172" s="93"/>
    </row>
    <row r="173" spans="1:5" x14ac:dyDescent="0.2">
      <c r="D173" s="93"/>
      <c r="E173" s="93"/>
    </row>
    <row r="174" spans="1:5" x14ac:dyDescent="0.2">
      <c r="D174" s="93"/>
      <c r="E174" s="93"/>
    </row>
    <row r="175" spans="1:5" x14ac:dyDescent="0.2">
      <c r="D175" s="93"/>
      <c r="E175" s="93"/>
    </row>
    <row r="176" spans="1:5" x14ac:dyDescent="0.2">
      <c r="D176" s="93"/>
      <c r="E176" s="93"/>
    </row>
    <row r="177" spans="4:5" x14ac:dyDescent="0.2">
      <c r="D177" s="93"/>
      <c r="E177" s="93"/>
    </row>
    <row r="178" spans="4:5" x14ac:dyDescent="0.2">
      <c r="D178" s="93"/>
      <c r="E178" s="93"/>
    </row>
    <row r="179" spans="4:5" x14ac:dyDescent="0.2">
      <c r="D179" s="93"/>
      <c r="E179" s="93"/>
    </row>
    <row r="180" spans="4:5" x14ac:dyDescent="0.2">
      <c r="D180" s="93"/>
      <c r="E180" s="93"/>
    </row>
    <row r="181" spans="4:5" x14ac:dyDescent="0.2">
      <c r="D181" s="93"/>
      <c r="E181" s="93"/>
    </row>
    <row r="182" spans="4:5" x14ac:dyDescent="0.2">
      <c r="D182" s="93"/>
      <c r="E182" s="93"/>
    </row>
    <row r="183" spans="4:5" x14ac:dyDescent="0.2">
      <c r="D183" s="93"/>
      <c r="E183" s="93"/>
    </row>
    <row r="184" spans="4:5" x14ac:dyDescent="0.2">
      <c r="D184" s="93"/>
      <c r="E184" s="93"/>
    </row>
    <row r="185" spans="4:5" x14ac:dyDescent="0.2">
      <c r="D185" s="93"/>
      <c r="E185" s="93"/>
    </row>
    <row r="186" spans="4:5" x14ac:dyDescent="0.2">
      <c r="D186" s="93"/>
      <c r="E186" s="93"/>
    </row>
    <row r="187" spans="4:5" x14ac:dyDescent="0.2">
      <c r="D187" s="93"/>
      <c r="E187" s="93"/>
    </row>
    <row r="188" spans="4:5" x14ac:dyDescent="0.2">
      <c r="D188" s="93"/>
      <c r="E188" s="93"/>
    </row>
    <row r="189" spans="4:5" x14ac:dyDescent="0.2">
      <c r="D189" s="93"/>
      <c r="E189" s="93"/>
    </row>
    <row r="190" spans="4:5" x14ac:dyDescent="0.2">
      <c r="D190" s="93"/>
      <c r="E190" s="93"/>
    </row>
    <row r="191" spans="4:5" x14ac:dyDescent="0.2">
      <c r="D191" s="93"/>
      <c r="E191" s="93"/>
    </row>
    <row r="192" spans="4:5" x14ac:dyDescent="0.2">
      <c r="D192" s="93"/>
      <c r="E192" s="93"/>
    </row>
    <row r="193" spans="4:5" x14ac:dyDescent="0.2">
      <c r="D193" s="93"/>
      <c r="E193" s="93"/>
    </row>
    <row r="194" spans="4:5" x14ac:dyDescent="0.2">
      <c r="D194" s="93"/>
      <c r="E194" s="93"/>
    </row>
    <row r="195" spans="4:5" x14ac:dyDescent="0.2">
      <c r="D195" s="93"/>
      <c r="E195" s="93"/>
    </row>
    <row r="196" spans="4:5" x14ac:dyDescent="0.2">
      <c r="D196" s="93"/>
      <c r="E196" s="93"/>
    </row>
    <row r="197" spans="4:5" x14ac:dyDescent="0.2">
      <c r="D197" s="93"/>
      <c r="E197" s="93"/>
    </row>
    <row r="198" spans="4:5" x14ac:dyDescent="0.2">
      <c r="D198" s="93"/>
      <c r="E198" s="93"/>
    </row>
    <row r="199" spans="4:5" x14ac:dyDescent="0.2">
      <c r="D199" s="93"/>
      <c r="E199" s="93"/>
    </row>
    <row r="200" spans="4:5" x14ac:dyDescent="0.2">
      <c r="D200" s="93"/>
      <c r="E200" s="93"/>
    </row>
    <row r="201" spans="4:5" x14ac:dyDescent="0.2">
      <c r="D201" s="93"/>
      <c r="E201" s="93"/>
    </row>
    <row r="202" spans="4:5" x14ac:dyDescent="0.2">
      <c r="D202" s="93"/>
      <c r="E202" s="93"/>
    </row>
    <row r="203" spans="4:5" x14ac:dyDescent="0.2">
      <c r="D203" s="93"/>
      <c r="E203" s="93"/>
    </row>
    <row r="204" spans="4:5" x14ac:dyDescent="0.2">
      <c r="D204" s="93"/>
      <c r="E204" s="93"/>
    </row>
    <row r="205" spans="4:5" x14ac:dyDescent="0.2">
      <c r="D205" s="93"/>
      <c r="E205" s="93"/>
    </row>
    <row r="206" spans="4:5" x14ac:dyDescent="0.2">
      <c r="D206" s="93"/>
      <c r="E206" s="93"/>
    </row>
    <row r="207" spans="4:5" x14ac:dyDescent="0.2">
      <c r="D207" s="93"/>
      <c r="E207" s="93"/>
    </row>
    <row r="208" spans="4:5" x14ac:dyDescent="0.2">
      <c r="D208" s="93"/>
      <c r="E208" s="93"/>
    </row>
    <row r="209" spans="4:5" x14ac:dyDescent="0.2">
      <c r="D209" s="93"/>
      <c r="E209" s="93"/>
    </row>
    <row r="210" spans="4:5" x14ac:dyDescent="0.2">
      <c r="D210" s="93"/>
      <c r="E210" s="93"/>
    </row>
    <row r="211" spans="4:5" x14ac:dyDescent="0.2">
      <c r="D211" s="93"/>
      <c r="E211" s="93"/>
    </row>
    <row r="212" spans="4:5" x14ac:dyDescent="0.2">
      <c r="D212" s="93"/>
      <c r="E212" s="93"/>
    </row>
    <row r="213" spans="4:5" x14ac:dyDescent="0.2">
      <c r="D213" s="93"/>
      <c r="E213" s="93"/>
    </row>
    <row r="214" spans="4:5" x14ac:dyDescent="0.2">
      <c r="D214" s="93"/>
      <c r="E214" s="93"/>
    </row>
    <row r="215" spans="4:5" x14ac:dyDescent="0.2">
      <c r="D215" s="93"/>
      <c r="E215" s="93"/>
    </row>
    <row r="216" spans="4:5" x14ac:dyDescent="0.2">
      <c r="D216" s="93"/>
      <c r="E216" s="93"/>
    </row>
    <row r="217" spans="4:5" x14ac:dyDescent="0.2">
      <c r="D217" s="93"/>
      <c r="E217" s="93"/>
    </row>
    <row r="218" spans="4:5" x14ac:dyDescent="0.2">
      <c r="D218" s="93"/>
      <c r="E218" s="93"/>
    </row>
    <row r="219" spans="4:5" x14ac:dyDescent="0.2">
      <c r="D219" s="93"/>
      <c r="E219" s="93"/>
    </row>
    <row r="220" spans="4:5" x14ac:dyDescent="0.2">
      <c r="D220" s="93"/>
      <c r="E220" s="93"/>
    </row>
    <row r="221" spans="4:5" x14ac:dyDescent="0.2">
      <c r="D221" s="93"/>
      <c r="E221" s="93"/>
    </row>
    <row r="222" spans="4:5" x14ac:dyDescent="0.2">
      <c r="D222" s="93"/>
      <c r="E222" s="93"/>
    </row>
    <row r="223" spans="4:5" x14ac:dyDescent="0.2">
      <c r="D223" s="93"/>
      <c r="E223" s="93"/>
    </row>
    <row r="224" spans="4:5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CL2"/>
  <sheetViews>
    <sheetView topLeftCell="BJ1" workbookViewId="0">
      <selection activeCell="BJ1" sqref="A1:XFD1048576"/>
    </sheetView>
  </sheetViews>
  <sheetFormatPr baseColWidth="10" defaultColWidth="8.83203125" defaultRowHeight="15" x14ac:dyDescent="0.2"/>
  <cols>
    <col min="80" max="80" width="40.1640625" bestFit="1" customWidth="1"/>
    <col min="81" max="81" width="41.1640625" bestFit="1" customWidth="1"/>
  </cols>
  <sheetData>
    <row r="1" spans="1:90" x14ac:dyDescent="0.2">
      <c r="A1" s="135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D1" s="135"/>
      <c r="BE1" s="135"/>
      <c r="BF1" s="135"/>
      <c r="BG1" s="135"/>
      <c r="BH1" s="135"/>
      <c r="BI1" s="135"/>
      <c r="BJ1" s="135"/>
      <c r="BK1" s="135"/>
      <c r="BL1" s="135"/>
      <c r="BM1" s="135"/>
      <c r="BN1" s="135"/>
      <c r="BO1" s="135"/>
      <c r="BP1" s="135"/>
      <c r="BQ1" s="135"/>
      <c r="BR1" s="135"/>
      <c r="BS1" s="135"/>
      <c r="BT1" s="135"/>
      <c r="BU1" s="135"/>
      <c r="BV1" s="135"/>
      <c r="BW1" s="135"/>
      <c r="BX1" s="135"/>
      <c r="BY1" s="135"/>
      <c r="BZ1" s="135"/>
      <c r="CA1" s="135"/>
      <c r="CB1" s="135"/>
      <c r="CC1" s="135"/>
      <c r="CD1" s="135"/>
      <c r="CE1" s="135"/>
      <c r="CF1" s="135"/>
      <c r="CG1" s="135"/>
      <c r="CH1" s="135"/>
      <c r="CI1" s="135"/>
      <c r="CJ1" s="135"/>
      <c r="CK1" s="135"/>
      <c r="CL1" s="135"/>
    </row>
    <row r="2" spans="1:90" ht="16" x14ac:dyDescent="0.2">
      <c r="A2" s="136"/>
      <c r="B2" s="136"/>
      <c r="C2" s="136"/>
      <c r="D2" s="136"/>
      <c r="E2" s="134"/>
      <c r="F2" s="134"/>
      <c r="G2" s="134"/>
      <c r="H2" s="134"/>
      <c r="I2" s="134"/>
      <c r="J2" s="134"/>
      <c r="K2" s="136"/>
      <c r="L2" s="136"/>
      <c r="M2" s="136"/>
      <c r="N2" s="136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4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  <c r="BN2" s="134"/>
      <c r="BO2" s="134"/>
      <c r="BP2" s="134"/>
      <c r="BQ2" s="134"/>
      <c r="BR2" s="134"/>
      <c r="BS2" s="134"/>
      <c r="BT2" s="134"/>
      <c r="BU2" s="134"/>
      <c r="BV2" s="134"/>
      <c r="BW2" s="134"/>
      <c r="BX2" s="134"/>
      <c r="BY2" s="134"/>
      <c r="BZ2" s="134"/>
      <c r="CA2" s="134"/>
      <c r="CB2" s="134"/>
      <c r="CC2" s="134"/>
      <c r="CD2" s="136"/>
      <c r="CE2" s="136"/>
      <c r="CF2" s="136"/>
      <c r="CG2" s="136"/>
      <c r="CH2" s="136"/>
      <c r="CI2" s="134"/>
      <c r="CJ2" s="134"/>
      <c r="CK2" s="134"/>
      <c r="CL2" s="13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 Summary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2024-07-22T06:48:17Z</dcterms:modified>
</cp:coreProperties>
</file>